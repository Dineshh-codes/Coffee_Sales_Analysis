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welcome\Downloads\"/>
    </mc:Choice>
  </mc:AlternateContent>
  <xr:revisionPtr revIDLastSave="0" documentId="13_ncr:1_{5C05A269-70F9-4E3A-BA2D-52CD03096103}" xr6:coauthVersionLast="47" xr6:coauthVersionMax="47" xr10:uidLastSave="{00000000-0000-0000-0000-000000000000}"/>
  <bookViews>
    <workbookView xWindow="-120" yWindow="-120" windowWidth="29040" windowHeight="15720" activeTab="6" xr2:uid="{00000000-000D-0000-FFFF-FFFF00000000}"/>
  </bookViews>
  <sheets>
    <sheet name="Dashboard" sheetId="24" r:id="rId1"/>
    <sheet name="TotalSales" sheetId="19" r:id="rId2"/>
    <sheet name="Country Sales" sheetId="20" r:id="rId3"/>
    <sheet name="Top Customers"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I4" i="17"/>
  <c r="N4" i="17" s="1"/>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K2" i="17"/>
  <c r="L2" i="17"/>
  <c r="M2" i="17" s="1"/>
  <c r="J2" i="17"/>
  <c r="O2" i="17" s="1"/>
  <c r="I3" i="17"/>
  <c r="N3"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1001" i="17"/>
  <c r="F1000" i="17"/>
  <c r="F999" i="17"/>
  <c r="F998" i="17"/>
  <c r="F997" i="17"/>
  <c r="F996" i="17"/>
  <c r="F995" i="17"/>
  <c r="F994" i="17"/>
  <c r="F993" i="17"/>
  <c r="F992" i="17"/>
  <c r="F991" i="17"/>
  <c r="F990" i="17"/>
  <c r="F989" i="17"/>
  <c r="F988" i="17"/>
  <c r="F987" i="17"/>
  <c r="F986" i="17"/>
  <c r="F985" i="17"/>
  <c r="F984" i="17"/>
  <c r="F983" i="17"/>
  <c r="F982" i="17"/>
  <c r="F981" i="17"/>
  <c r="F980" i="17"/>
  <c r="F979" i="17"/>
  <c r="F978" i="17"/>
  <c r="F977" i="17"/>
  <c r="F976" i="17"/>
  <c r="F975" i="17"/>
  <c r="F974" i="17"/>
  <c r="F973" i="17"/>
  <c r="F972" i="17"/>
  <c r="F971" i="17"/>
  <c r="F970" i="17"/>
  <c r="F969" i="17"/>
  <c r="F968" i="17"/>
  <c r="F967" i="17"/>
  <c r="F966" i="17"/>
  <c r="F965" i="17"/>
  <c r="F964" i="17"/>
  <c r="F963" i="17"/>
  <c r="F962" i="17"/>
  <c r="F961" i="17"/>
  <c r="F960" i="17"/>
  <c r="F959" i="17"/>
  <c r="F958" i="17"/>
  <c r="F957" i="17"/>
  <c r="F956" i="17"/>
  <c r="F955" i="17"/>
  <c r="F954" i="17"/>
  <c r="F953" i="17"/>
  <c r="F952" i="17"/>
  <c r="F951" i="17"/>
  <c r="F950" i="17"/>
  <c r="F949" i="17"/>
  <c r="F948" i="17"/>
  <c r="F947" i="17"/>
  <c r="F946" i="17"/>
  <c r="F945" i="17"/>
  <c r="F944" i="17"/>
  <c r="F943" i="17"/>
  <c r="F942" i="17"/>
  <c r="F941" i="17"/>
  <c r="F940" i="17"/>
  <c r="F939" i="17"/>
  <c r="F938" i="17"/>
  <c r="F937" i="17"/>
  <c r="F936" i="17"/>
  <c r="F935" i="17"/>
  <c r="F934" i="17"/>
  <c r="F933" i="17"/>
  <c r="F932" i="17"/>
  <c r="F931" i="17"/>
  <c r="F930" i="17"/>
  <c r="F929" i="17"/>
  <c r="F928" i="17"/>
  <c r="F927" i="17"/>
  <c r="F926" i="17"/>
  <c r="F925" i="17"/>
  <c r="F924" i="17"/>
  <c r="F923" i="17"/>
  <c r="F922" i="17"/>
  <c r="F921" i="17"/>
  <c r="F920" i="17"/>
  <c r="F919" i="17"/>
  <c r="F918" i="17"/>
  <c r="F917" i="17"/>
  <c r="F916" i="17"/>
  <c r="F915" i="17"/>
  <c r="F914" i="17"/>
  <c r="F913" i="17"/>
  <c r="F912" i="17"/>
  <c r="F911" i="17"/>
  <c r="F910" i="17"/>
  <c r="F909" i="17"/>
  <c r="F908" i="17"/>
  <c r="F907" i="17"/>
  <c r="F906" i="17"/>
  <c r="F905" i="17"/>
  <c r="F904" i="17"/>
  <c r="F903" i="17"/>
  <c r="F902" i="17"/>
  <c r="F901" i="17"/>
  <c r="F900" i="17"/>
  <c r="F899" i="17"/>
  <c r="F898" i="17"/>
  <c r="F897" i="17"/>
  <c r="F896" i="17"/>
  <c r="F895" i="17"/>
  <c r="F894" i="17"/>
  <c r="F893" i="17"/>
  <c r="F892" i="17"/>
  <c r="F891" i="17"/>
  <c r="F890" i="17"/>
  <c r="F889" i="17"/>
  <c r="F888" i="17"/>
  <c r="F887" i="17"/>
  <c r="F886" i="17"/>
  <c r="F885" i="17"/>
  <c r="F884" i="17"/>
  <c r="F883" i="17"/>
  <c r="F882" i="17"/>
  <c r="F881" i="17"/>
  <c r="F880" i="17"/>
  <c r="F879" i="17"/>
  <c r="F878" i="17"/>
  <c r="F877" i="17"/>
  <c r="F876" i="17"/>
  <c r="F875" i="17"/>
  <c r="F874" i="17"/>
  <c r="F873" i="17"/>
  <c r="F872" i="17"/>
  <c r="F871" i="17"/>
  <c r="F870" i="17"/>
  <c r="F869" i="17"/>
  <c r="F868" i="17"/>
  <c r="F867" i="17"/>
  <c r="F866" i="17"/>
  <c r="F865" i="17"/>
  <c r="F864" i="17"/>
  <c r="F863" i="17"/>
  <c r="F862" i="17"/>
  <c r="F861" i="17"/>
  <c r="F860" i="17"/>
  <c r="F859" i="17"/>
  <c r="F858" i="17"/>
  <c r="F857" i="17"/>
  <c r="F856" i="17"/>
  <c r="F855" i="17"/>
  <c r="F854" i="17"/>
  <c r="F853" i="17"/>
  <c r="F852" i="17"/>
  <c r="F851" i="17"/>
  <c r="F850" i="17"/>
  <c r="F849" i="17"/>
  <c r="F848" i="17"/>
  <c r="F847" i="17"/>
  <c r="F846" i="17"/>
  <c r="F845" i="17"/>
  <c r="F844" i="17"/>
  <c r="F843" i="17"/>
  <c r="F842" i="17"/>
  <c r="F841" i="17"/>
  <c r="F840" i="17"/>
  <c r="F839" i="17"/>
  <c r="F838" i="17"/>
  <c r="F837" i="17"/>
  <c r="F836" i="17"/>
  <c r="F835" i="17"/>
  <c r="F834" i="17"/>
  <c r="F833" i="17"/>
  <c r="F832" i="17"/>
  <c r="F831" i="17"/>
  <c r="F830" i="17"/>
  <c r="F829" i="17"/>
  <c r="F828" i="17"/>
  <c r="F827" i="17"/>
  <c r="F826" i="17"/>
  <c r="F825" i="17"/>
  <c r="F824" i="17"/>
  <c r="F823" i="17"/>
  <c r="F822" i="17"/>
  <c r="F821" i="17"/>
  <c r="F820" i="17"/>
  <c r="F819" i="17"/>
  <c r="F818" i="17"/>
  <c r="F817" i="17"/>
  <c r="F816" i="17"/>
  <c r="F815" i="17"/>
  <c r="F814" i="17"/>
  <c r="F813" i="17"/>
  <c r="F812" i="17"/>
  <c r="F811" i="17"/>
  <c r="F810" i="17"/>
  <c r="F809" i="17"/>
  <c r="F808" i="17"/>
  <c r="F807" i="17"/>
  <c r="F806" i="17"/>
  <c r="F805" i="17"/>
  <c r="F804" i="17"/>
  <c r="F803" i="17"/>
  <c r="F802" i="17"/>
  <c r="F801" i="17"/>
  <c r="F800" i="17"/>
  <c r="F799" i="17"/>
  <c r="F798" i="17"/>
  <c r="F797" i="17"/>
  <c r="F796" i="17"/>
  <c r="F795" i="17"/>
  <c r="F794" i="17"/>
  <c r="F793" i="17"/>
  <c r="F792" i="17"/>
  <c r="F791" i="17"/>
  <c r="F790" i="17"/>
  <c r="F789" i="17"/>
  <c r="F788" i="17"/>
  <c r="F787" i="17"/>
  <c r="F786" i="17"/>
  <c r="F785" i="17"/>
  <c r="F784" i="17"/>
  <c r="F783" i="17"/>
  <c r="F782" i="17"/>
  <c r="F781" i="17"/>
  <c r="F780" i="17"/>
  <c r="F779" i="17"/>
  <c r="F778" i="17"/>
  <c r="F777" i="17"/>
  <c r="F776" i="17"/>
  <c r="F775" i="17"/>
  <c r="F774" i="17"/>
  <c r="F773" i="17"/>
  <c r="F772" i="17"/>
  <c r="F771" i="17"/>
  <c r="F770" i="17"/>
  <c r="F769" i="17"/>
  <c r="F768" i="17"/>
  <c r="F767" i="17"/>
  <c r="F766" i="17"/>
  <c r="F765" i="17"/>
  <c r="F764" i="17"/>
  <c r="F763" i="17"/>
  <c r="F762" i="17"/>
  <c r="F761" i="17"/>
  <c r="F760" i="17"/>
  <c r="F759" i="17"/>
  <c r="F758" i="17"/>
  <c r="F757" i="17"/>
  <c r="F756" i="17"/>
  <c r="F755" i="17"/>
  <c r="F754" i="17"/>
  <c r="F753" i="17"/>
  <c r="F752" i="17"/>
  <c r="F751" i="17"/>
  <c r="F750" i="17"/>
  <c r="F749" i="17"/>
  <c r="F748" i="17"/>
  <c r="F747" i="17"/>
  <c r="F746" i="17"/>
  <c r="F745" i="17"/>
  <c r="F744" i="17"/>
  <c r="F743" i="17"/>
  <c r="F742" i="17"/>
  <c r="F741" i="17"/>
  <c r="F740" i="17"/>
  <c r="F739" i="17"/>
  <c r="F738" i="17"/>
  <c r="F737" i="17"/>
  <c r="F736" i="17"/>
  <c r="F735" i="17"/>
  <c r="F734" i="17"/>
  <c r="F733" i="17"/>
  <c r="F732" i="17"/>
  <c r="F731" i="17"/>
  <c r="F730" i="17"/>
  <c r="F729" i="17"/>
  <c r="F728" i="17"/>
  <c r="F727" i="17"/>
  <c r="F726" i="17"/>
  <c r="F725" i="17"/>
  <c r="F724" i="17"/>
  <c r="F723" i="17"/>
  <c r="F722" i="17"/>
  <c r="F721" i="17"/>
  <c r="F720" i="17"/>
  <c r="F719" i="17"/>
  <c r="F718" i="17"/>
  <c r="F717" i="17"/>
  <c r="F716" i="17"/>
  <c r="F715" i="17"/>
  <c r="F714" i="17"/>
  <c r="F713" i="17"/>
  <c r="F712" i="17"/>
  <c r="F711" i="17"/>
  <c r="F710" i="17"/>
  <c r="F709" i="17"/>
  <c r="F708" i="17"/>
  <c r="F707" i="17"/>
  <c r="F706" i="17"/>
  <c r="F705" i="17"/>
  <c r="F704" i="17"/>
  <c r="F703" i="17"/>
  <c r="F702" i="17"/>
  <c r="F701" i="17"/>
  <c r="F700" i="17"/>
  <c r="F699" i="17"/>
  <c r="F698" i="17"/>
  <c r="F697" i="17"/>
  <c r="F696" i="17"/>
  <c r="F695" i="17"/>
  <c r="F694" i="17"/>
  <c r="F693" i="17"/>
  <c r="F692" i="17"/>
  <c r="F691" i="17"/>
  <c r="F690" i="17"/>
  <c r="F689" i="17"/>
  <c r="F688" i="17"/>
  <c r="F687" i="17"/>
  <c r="F686" i="17"/>
  <c r="F685" i="17"/>
  <c r="F684" i="17"/>
  <c r="F683" i="17"/>
  <c r="F682" i="17"/>
  <c r="F681" i="17"/>
  <c r="F680" i="17"/>
  <c r="F679" i="17"/>
  <c r="F678" i="17"/>
  <c r="F677" i="17"/>
  <c r="F676" i="17"/>
  <c r="F675" i="17"/>
  <c r="F674" i="17"/>
  <c r="F673" i="17"/>
  <c r="F672" i="17"/>
  <c r="F671" i="17"/>
  <c r="F670" i="17"/>
  <c r="F669" i="17"/>
  <c r="F668" i="17"/>
  <c r="F667" i="17"/>
  <c r="F666" i="17"/>
  <c r="F665" i="17"/>
  <c r="F664" i="17"/>
  <c r="F663" i="17"/>
  <c r="F662" i="17"/>
  <c r="F661" i="17"/>
  <c r="F660" i="17"/>
  <c r="F659" i="17"/>
  <c r="F658" i="17"/>
  <c r="F657" i="17"/>
  <c r="F656" i="17"/>
  <c r="F655" i="17"/>
  <c r="F654" i="17"/>
  <c r="F653" i="17"/>
  <c r="F652" i="17"/>
  <c r="F651" i="17"/>
  <c r="F650" i="17"/>
  <c r="F649" i="17"/>
  <c r="F648" i="17"/>
  <c r="F647" i="17"/>
  <c r="F646" i="17"/>
  <c r="F645" i="17"/>
  <c r="F644" i="17"/>
  <c r="F643" i="17"/>
  <c r="F642" i="17"/>
  <c r="F641" i="17"/>
  <c r="F640" i="17"/>
  <c r="F639" i="17"/>
  <c r="F638" i="17"/>
  <c r="F637" i="17"/>
  <c r="F636" i="17"/>
  <c r="F635" i="17"/>
  <c r="F634" i="17"/>
  <c r="F633" i="17"/>
  <c r="F632" i="17"/>
  <c r="F631" i="17"/>
  <c r="F630" i="17"/>
  <c r="F629" i="17"/>
  <c r="F628" i="17"/>
  <c r="F627" i="17"/>
  <c r="F626" i="17"/>
  <c r="F625" i="17"/>
  <c r="F624" i="17"/>
  <c r="F623" i="17"/>
  <c r="F622" i="17"/>
  <c r="F621" i="17"/>
  <c r="F620" i="17"/>
  <c r="F619" i="17"/>
  <c r="F618" i="17"/>
  <c r="F617" i="17"/>
  <c r="F616" i="17"/>
  <c r="F615" i="17"/>
  <c r="F614" i="17"/>
  <c r="F613" i="17"/>
  <c r="F612" i="17"/>
  <c r="F611" i="17"/>
  <c r="F610" i="17"/>
  <c r="F609" i="17"/>
  <c r="F608" i="17"/>
  <c r="F607" i="17"/>
  <c r="F606" i="17"/>
  <c r="F605" i="17"/>
  <c r="F604" i="17"/>
  <c r="F603" i="17"/>
  <c r="F602" i="17"/>
  <c r="F601" i="17"/>
  <c r="F600" i="17"/>
  <c r="F599" i="17"/>
  <c r="F598" i="17"/>
  <c r="F597" i="17"/>
  <c r="F596" i="17"/>
  <c r="F595" i="17"/>
  <c r="F594" i="17"/>
  <c r="F593" i="17"/>
  <c r="F592" i="17"/>
  <c r="F591" i="17"/>
  <c r="F590" i="17"/>
  <c r="F589" i="17"/>
  <c r="F588" i="17"/>
  <c r="F587" i="17"/>
  <c r="F586" i="17"/>
  <c r="F585" i="17"/>
  <c r="F584" i="17"/>
  <c r="F583" i="17"/>
  <c r="F582" i="17"/>
  <c r="F581" i="17"/>
  <c r="F580" i="17"/>
  <c r="F579" i="17"/>
  <c r="F578" i="17"/>
  <c r="F577" i="17"/>
  <c r="F576" i="17"/>
  <c r="F575" i="17"/>
  <c r="F574" i="17"/>
  <c r="F573" i="17"/>
  <c r="F572" i="17"/>
  <c r="F571" i="17"/>
  <c r="F570" i="17"/>
  <c r="F569" i="17"/>
  <c r="F568" i="17"/>
  <c r="F567" i="17"/>
  <c r="F566" i="17"/>
  <c r="F565" i="17"/>
  <c r="F564" i="17"/>
  <c r="F563" i="17"/>
  <c r="F562" i="17"/>
  <c r="F561" i="17"/>
  <c r="F560" i="17"/>
  <c r="F559" i="17"/>
  <c r="F558" i="17"/>
  <c r="F557" i="17"/>
  <c r="F556" i="17"/>
  <c r="F555" i="17"/>
  <c r="F554" i="17"/>
  <c r="F553" i="17"/>
  <c r="F552" i="17"/>
  <c r="F551" i="17"/>
  <c r="F550" i="17"/>
  <c r="F549" i="17"/>
  <c r="F548" i="17"/>
  <c r="F547" i="17"/>
  <c r="F546" i="17"/>
  <c r="F545" i="17"/>
  <c r="F544" i="17"/>
  <c r="F543" i="17"/>
  <c r="F542" i="17"/>
  <c r="F541" i="17"/>
  <c r="F540" i="17"/>
  <c r="F539" i="17"/>
  <c r="F538" i="17"/>
  <c r="F537" i="17"/>
  <c r="F536" i="17"/>
  <c r="F535" i="17"/>
  <c r="F534" i="17"/>
  <c r="F533" i="17"/>
  <c r="F532" i="17"/>
  <c r="F531" i="17"/>
  <c r="F530" i="17"/>
  <c r="F529" i="17"/>
  <c r="F528" i="17"/>
  <c r="F527" i="17"/>
  <c r="F526" i="17"/>
  <c r="F525" i="17"/>
  <c r="F524" i="17"/>
  <c r="F523" i="17"/>
  <c r="F522" i="17"/>
  <c r="F521" i="17"/>
  <c r="F520" i="17"/>
  <c r="F519" i="17"/>
  <c r="F518" i="17"/>
  <c r="F517" i="17"/>
  <c r="F516" i="17"/>
  <c r="F515" i="17"/>
  <c r="F514" i="17"/>
  <c r="F513" i="17"/>
  <c r="F512" i="17"/>
  <c r="F511" i="17"/>
  <c r="F510" i="17"/>
  <c r="F509" i="17"/>
  <c r="F508" i="17"/>
  <c r="F507" i="17"/>
  <c r="F506" i="17"/>
  <c r="F505" i="17"/>
  <c r="F504" i="17"/>
  <c r="F503" i="17"/>
  <c r="F502" i="17"/>
  <c r="F501" i="17"/>
  <c r="F500" i="17"/>
  <c r="F499" i="17"/>
  <c r="F498" i="17"/>
  <c r="F497" i="17"/>
  <c r="F496" i="17"/>
  <c r="F495" i="17"/>
  <c r="F494" i="17"/>
  <c r="F493" i="17"/>
  <c r="F492" i="17"/>
  <c r="F491" i="17"/>
  <c r="F490" i="17"/>
  <c r="F489" i="17"/>
  <c r="F488" i="17"/>
  <c r="F487" i="17"/>
  <c r="F486" i="17"/>
  <c r="F485" i="17"/>
  <c r="F484" i="17"/>
  <c r="F483" i="17"/>
  <c r="F482" i="17"/>
  <c r="F481" i="17"/>
  <c r="F480" i="17"/>
  <c r="F479" i="17"/>
  <c r="F478" i="17"/>
  <c r="F477" i="17"/>
  <c r="F476" i="17"/>
  <c r="F475" i="17"/>
  <c r="F474" i="17"/>
  <c r="F473" i="17"/>
  <c r="F472" i="17"/>
  <c r="F471" i="17"/>
  <c r="F470" i="17"/>
  <c r="F469" i="17"/>
  <c r="F468" i="17"/>
  <c r="F467" i="17"/>
  <c r="F466" i="17"/>
  <c r="F465" i="17"/>
  <c r="F464" i="17"/>
  <c r="F463" i="17"/>
  <c r="F462" i="17"/>
  <c r="F461" i="17"/>
  <c r="F460" i="17"/>
  <c r="F459" i="17"/>
  <c r="F458" i="17"/>
  <c r="F457" i="17"/>
  <c r="F456" i="17"/>
  <c r="F455" i="17"/>
  <c r="F454" i="17"/>
  <c r="F453" i="17"/>
  <c r="F452" i="17"/>
  <c r="F451" i="17"/>
  <c r="F450" i="17"/>
  <c r="F449" i="17"/>
  <c r="F448" i="17"/>
  <c r="F447" i="17"/>
  <c r="F446" i="17"/>
  <c r="F445" i="17"/>
  <c r="F444" i="17"/>
  <c r="F443" i="17"/>
  <c r="F442" i="17"/>
  <c r="F441" i="17"/>
  <c r="F440" i="17"/>
  <c r="F439" i="17"/>
  <c r="F438" i="17"/>
  <c r="F437" i="17"/>
  <c r="F436" i="17"/>
  <c r="F435" i="17"/>
  <c r="F434" i="17"/>
  <c r="F433" i="17"/>
  <c r="F432" i="17"/>
  <c r="F431" i="17"/>
  <c r="F430" i="17"/>
  <c r="F429" i="17"/>
  <c r="F428" i="17"/>
  <c r="F427" i="17"/>
  <c r="F426" i="17"/>
  <c r="F425" i="17"/>
  <c r="F424" i="17"/>
  <c r="F423" i="17"/>
  <c r="F422" i="17"/>
  <c r="F421" i="17"/>
  <c r="F420" i="17"/>
  <c r="F419" i="17"/>
  <c r="F418" i="17"/>
  <c r="F417" i="17"/>
  <c r="F416" i="17"/>
  <c r="F415" i="17"/>
  <c r="F414" i="17"/>
  <c r="F413" i="17"/>
  <c r="F412" i="17"/>
  <c r="F411" i="17"/>
  <c r="F410" i="17"/>
  <c r="F409" i="17"/>
  <c r="F408" i="17"/>
  <c r="F407" i="17"/>
  <c r="F406" i="17"/>
  <c r="F405" i="17"/>
  <c r="F404" i="17"/>
  <c r="F403" i="17"/>
  <c r="F402" i="17"/>
  <c r="F401" i="17"/>
  <c r="F400" i="17"/>
  <c r="F399" i="17"/>
  <c r="F398" i="17"/>
  <c r="F397" i="17"/>
  <c r="F396" i="17"/>
  <c r="F395" i="17"/>
  <c r="F394" i="17"/>
  <c r="F393" i="17"/>
  <c r="F392" i="17"/>
  <c r="F391" i="17"/>
  <c r="F390" i="17"/>
  <c r="F389" i="17"/>
  <c r="F388" i="17"/>
  <c r="F387" i="17"/>
  <c r="F386" i="17"/>
  <c r="F385" i="17"/>
  <c r="F384" i="17"/>
  <c r="F383" i="17"/>
  <c r="F382" i="17"/>
  <c r="F381" i="17"/>
  <c r="F380" i="17"/>
  <c r="F379" i="17"/>
  <c r="F378" i="17"/>
  <c r="F377" i="17"/>
  <c r="F376" i="17"/>
  <c r="F375" i="17"/>
  <c r="F374" i="17"/>
  <c r="F373" i="17"/>
  <c r="F372" i="17"/>
  <c r="F371" i="17"/>
  <c r="F370" i="17"/>
  <c r="F369" i="17"/>
  <c r="F368" i="17"/>
  <c r="F367" i="17"/>
  <c r="F366" i="17"/>
  <c r="F365" i="17"/>
  <c r="F364" i="17"/>
  <c r="F363" i="17"/>
  <c r="F362" i="17"/>
  <c r="F361" i="17"/>
  <c r="F360" i="17"/>
  <c r="F359" i="17"/>
  <c r="F358" i="17"/>
  <c r="F357" i="17"/>
  <c r="F356" i="17"/>
  <c r="F355" i="17"/>
  <c r="F354" i="17"/>
  <c r="F353" i="17"/>
  <c r="F352" i="17"/>
  <c r="F351" i="17"/>
  <c r="F350" i="17"/>
  <c r="F349" i="17"/>
  <c r="F348" i="17"/>
  <c r="F347" i="17"/>
  <c r="F346" i="17"/>
  <c r="F345" i="17"/>
  <c r="F344" i="17"/>
  <c r="F343" i="17"/>
  <c r="F342" i="17"/>
  <c r="F341" i="17"/>
  <c r="F340" i="17"/>
  <c r="F339" i="17"/>
  <c r="F338" i="17"/>
  <c r="F337" i="17"/>
  <c r="F336" i="17"/>
  <c r="F335" i="17"/>
  <c r="F334" i="17"/>
  <c r="F333" i="17"/>
  <c r="F332" i="17"/>
  <c r="F331" i="17"/>
  <c r="F330" i="17"/>
  <c r="F329" i="17"/>
  <c r="F328" i="17"/>
  <c r="F327" i="17"/>
  <c r="F326" i="17"/>
  <c r="F325" i="17"/>
  <c r="F324" i="17"/>
  <c r="F323" i="17"/>
  <c r="F322" i="17"/>
  <c r="F321" i="17"/>
  <c r="F320" i="17"/>
  <c r="F319" i="17"/>
  <c r="F318" i="17"/>
  <c r="F317" i="17"/>
  <c r="F316" i="17"/>
  <c r="F315" i="17"/>
  <c r="F314" i="17"/>
  <c r="F313" i="17"/>
  <c r="F312" i="17"/>
  <c r="F311" i="17"/>
  <c r="F310" i="17"/>
  <c r="F309" i="17"/>
  <c r="F308" i="17"/>
  <c r="F307" i="17"/>
  <c r="F306" i="17"/>
  <c r="F305" i="17"/>
  <c r="F304" i="17"/>
  <c r="F303" i="17"/>
  <c r="F302" i="17"/>
  <c r="F301" i="17"/>
  <c r="F300" i="17"/>
  <c r="F299" i="17"/>
  <c r="F298" i="17"/>
  <c r="F297" i="17"/>
  <c r="F296" i="17"/>
  <c r="F295" i="17"/>
  <c r="F294" i="17"/>
  <c r="F293" i="17"/>
  <c r="F292" i="17"/>
  <c r="F291" i="17"/>
  <c r="F290" i="17"/>
  <c r="F289" i="17"/>
  <c r="F288" i="17"/>
  <c r="F287" i="17"/>
  <c r="F286" i="17"/>
  <c r="F285" i="17"/>
  <c r="F284" i="17"/>
  <c r="F283" i="17"/>
  <c r="F282" i="17"/>
  <c r="F281" i="17"/>
  <c r="F280" i="17"/>
  <c r="F279" i="17"/>
  <c r="F278" i="17"/>
  <c r="F277" i="17"/>
  <c r="F276" i="17"/>
  <c r="F275" i="17"/>
  <c r="F274" i="17"/>
  <c r="F273" i="17"/>
  <c r="F272" i="17"/>
  <c r="F271" i="17"/>
  <c r="F270" i="17"/>
  <c r="F269" i="17"/>
  <c r="F268" i="17"/>
  <c r="F267" i="17"/>
  <c r="F266" i="17"/>
  <c r="F265" i="17"/>
  <c r="F264" i="17"/>
  <c r="F263" i="17"/>
  <c r="F262" i="17"/>
  <c r="F261" i="17"/>
  <c r="F260" i="17"/>
  <c r="F259" i="17"/>
  <c r="F258" i="17"/>
  <c r="F257" i="17"/>
  <c r="F256" i="17"/>
  <c r="F255" i="17"/>
  <c r="F254" i="17"/>
  <c r="F253" i="17"/>
  <c r="F252" i="17"/>
  <c r="F251" i="17"/>
  <c r="F250" i="17"/>
  <c r="F249" i="17"/>
  <c r="F248" i="17"/>
  <c r="F247" i="17"/>
  <c r="F246" i="17"/>
  <c r="F245" i="17"/>
  <c r="F244" i="17"/>
  <c r="F243" i="17"/>
  <c r="F242" i="17"/>
  <c r="F241" i="17"/>
  <c r="F240" i="17"/>
  <c r="F239" i="17"/>
  <c r="F238" i="17"/>
  <c r="F237" i="17"/>
  <c r="F236" i="17"/>
  <c r="F235" i="17"/>
  <c r="F234" i="17"/>
  <c r="F233" i="17"/>
  <c r="F232" i="17"/>
  <c r="F231" i="17"/>
  <c r="F230" i="17"/>
  <c r="F229" i="17"/>
  <c r="F228" i="17"/>
  <c r="F227" i="17"/>
  <c r="F226" i="17"/>
  <c r="F225" i="17"/>
  <c r="F224" i="17"/>
  <c r="F223" i="17"/>
  <c r="F222" i="17"/>
  <c r="F221" i="17"/>
  <c r="F220" i="17"/>
  <c r="F219" i="17"/>
  <c r="F218" i="17"/>
  <c r="F217" i="17"/>
  <c r="F216" i="17"/>
  <c r="F215" i="17"/>
  <c r="F214" i="17"/>
  <c r="F213" i="17"/>
  <c r="F212" i="17"/>
  <c r="F211" i="17"/>
  <c r="F210" i="17"/>
  <c r="F209" i="17"/>
  <c r="F208" i="17"/>
  <c r="F207" i="17"/>
  <c r="F206" i="17"/>
  <c r="F205" i="17"/>
  <c r="F204" i="17"/>
  <c r="F203" i="17"/>
  <c r="F202" i="17"/>
  <c r="F201" i="17"/>
  <c r="F200" i="17"/>
  <c r="F199" i="17"/>
  <c r="F198" i="17"/>
  <c r="F197" i="17"/>
  <c r="F196" i="17"/>
  <c r="F195" i="17"/>
  <c r="F194" i="17"/>
  <c r="F193" i="17"/>
  <c r="F192" i="17"/>
  <c r="F191" i="17"/>
  <c r="F190" i="17"/>
  <c r="F189" i="17"/>
  <c r="F188" i="17"/>
  <c r="F187" i="17"/>
  <c r="F186" i="17"/>
  <c r="F185" i="17"/>
  <c r="F184" i="17"/>
  <c r="F183" i="17"/>
  <c r="F182" i="17"/>
  <c r="F181" i="17"/>
  <c r="F180" i="17"/>
  <c r="F179" i="17"/>
  <c r="F178" i="17"/>
  <c r="F177" i="17"/>
  <c r="F176" i="17"/>
  <c r="F175" i="17"/>
  <c r="F174" i="17"/>
  <c r="F173" i="17"/>
  <c r="F172" i="17"/>
  <c r="F171" i="17"/>
  <c r="F170" i="17"/>
  <c r="F169" i="17"/>
  <c r="F168" i="17"/>
  <c r="F167" i="17"/>
  <c r="F166" i="17"/>
  <c r="F165" i="17"/>
  <c r="F164" i="17"/>
  <c r="F163" i="17"/>
  <c r="F162" i="17"/>
  <c r="F161" i="17"/>
  <c r="F160" i="17"/>
  <c r="F159" i="17"/>
  <c r="F158" i="17"/>
  <c r="F157" i="17"/>
  <c r="F156" i="17"/>
  <c r="F155" i="17"/>
  <c r="F154" i="17"/>
  <c r="F153" i="17"/>
  <c r="F152" i="17"/>
  <c r="F151" i="17"/>
  <c r="F150" i="17"/>
  <c r="F149" i="17"/>
  <c r="F148" i="17"/>
  <c r="F147" i="17"/>
  <c r="F146" i="17"/>
  <c r="F145" i="17"/>
  <c r="F144" i="17"/>
  <c r="F143" i="17"/>
  <c r="F142" i="17"/>
  <c r="F141" i="17"/>
  <c r="F140" i="17"/>
  <c r="F139" i="17"/>
  <c r="F138" i="17"/>
  <c r="F137" i="17"/>
  <c r="F136" i="17"/>
  <c r="F135" i="17"/>
  <c r="F134" i="17"/>
  <c r="F133" i="17"/>
  <c r="F132" i="17"/>
  <c r="F131" i="17"/>
  <c r="F130" i="17"/>
  <c r="F129" i="17"/>
  <c r="F128" i="17"/>
  <c r="F127" i="17"/>
  <c r="F126" i="17"/>
  <c r="F125" i="17"/>
  <c r="F124" i="17"/>
  <c r="F123" i="17"/>
  <c r="F122" i="17"/>
  <c r="F121" i="17"/>
  <c r="F120" i="17"/>
  <c r="F119" i="17"/>
  <c r="F118" i="17"/>
  <c r="F117" i="17"/>
  <c r="F116" i="17"/>
  <c r="F115" i="17"/>
  <c r="F114" i="17"/>
  <c r="F113" i="17"/>
  <c r="F112" i="17"/>
  <c r="F111" i="17"/>
  <c r="F110" i="17"/>
  <c r="F109" i="17"/>
  <c r="F108" i="17"/>
  <c r="F107" i="17"/>
  <c r="F106" i="17"/>
  <c r="F105" i="17"/>
  <c r="F104" i="17"/>
  <c r="F103" i="17"/>
  <c r="F102" i="17"/>
  <c r="F101" i="17"/>
  <c r="F100" i="17"/>
  <c r="F99" i="17"/>
  <c r="F98" i="17"/>
  <c r="F97" i="17"/>
  <c r="F96" i="17"/>
  <c r="F95" i="17"/>
  <c r="F94" i="17"/>
  <c r="F93" i="17"/>
  <c r="F92" i="17"/>
  <c r="F91" i="17"/>
  <c r="F90" i="17"/>
  <c r="F89" i="17"/>
  <c r="F88" i="17"/>
  <c r="F87" i="17"/>
  <c r="F86" i="17"/>
  <c r="F85" i="17"/>
  <c r="F84" i="17"/>
  <c r="F83" i="17"/>
  <c r="F82" i="17"/>
  <c r="F81" i="17"/>
  <c r="F80" i="17"/>
  <c r="F79" i="17"/>
  <c r="F78" i="17"/>
  <c r="F77" i="17"/>
  <c r="F76" i="17"/>
  <c r="F75" i="17"/>
  <c r="F74" i="17"/>
  <c r="F73" i="17"/>
  <c r="F72" i="17"/>
  <c r="F71" i="17"/>
  <c r="F70" i="17"/>
  <c r="F69" i="17"/>
  <c r="F68" i="17"/>
  <c r="F67" i="17"/>
  <c r="F66" i="17"/>
  <c r="F65" i="17"/>
  <c r="F64" i="17"/>
  <c r="F63" i="17"/>
  <c r="F62" i="17"/>
  <c r="F61" i="17"/>
  <c r="F60" i="17"/>
  <c r="F59" i="17"/>
  <c r="F58" i="17"/>
  <c r="F57" i="17"/>
  <c r="F56" i="17"/>
  <c r="F55" i="17"/>
  <c r="F54" i="17"/>
  <c r="F53" i="17"/>
  <c r="F52" i="17"/>
  <c r="F51" i="17"/>
  <c r="F50" i="17"/>
  <c r="F49" i="17"/>
  <c r="F48" i="17"/>
  <c r="F47" i="17"/>
  <c r="F46" i="17"/>
  <c r="F45" i="17"/>
  <c r="F44" i="17"/>
  <c r="F43" i="17"/>
  <c r="F42" i="17"/>
  <c r="F41" i="17"/>
  <c r="F40" i="17"/>
  <c r="F39" i="17"/>
  <c r="F38" i="17"/>
  <c r="F37" i="17"/>
  <c r="F36" i="17"/>
  <c r="F35" i="17"/>
  <c r="F34" i="17"/>
  <c r="F33" i="17"/>
  <c r="F32" i="17"/>
  <c r="F31" i="17"/>
  <c r="F30" i="17"/>
  <c r="F29" i="17"/>
  <c r="F28" i="17"/>
  <c r="F27" i="17"/>
  <c r="F26" i="17"/>
  <c r="F25" i="17"/>
  <c r="F24" i="17"/>
  <c r="F23" i="17"/>
  <c r="F22" i="17"/>
  <c r="F21" i="17"/>
  <c r="F20" i="17"/>
  <c r="F19" i="17"/>
  <c r="F18" i="17"/>
  <c r="F17" i="17"/>
  <c r="F16" i="17"/>
  <c r="F15" i="17"/>
  <c r="F14" i="17"/>
  <c r="F13" i="17"/>
  <c r="F12" i="17"/>
  <c r="F11" i="17"/>
  <c r="F10" i="17"/>
  <c r="F9" i="17"/>
  <c r="F8" i="17"/>
  <c r="F7" i="17"/>
  <c r="F6" i="17"/>
  <c r="F5" i="17"/>
  <c r="F4" i="17"/>
  <c r="F3" i="17"/>
  <c r="F2" i="17"/>
</calcChain>
</file>

<file path=xl/sharedStrings.xml><?xml version="1.0" encoding="utf-8"?>
<sst xmlns="http://schemas.openxmlformats.org/spreadsheetml/2006/main" count="11130" uniqueCount="6222">
  <si>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</si>
  <si>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</si>
  <si>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</si>
  <si>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</si>
  <si>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</si>
  <si>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</si>
  <si>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</si>
  <si>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</si>
  <si>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</si>
  <si>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</si>
  <si>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</si>
  <si>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</si>
  <si>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</si>
  <si>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</si>
  <si>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</si>
  <si>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</si>
  <si>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</si>
  <si>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</si>
  <si>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</si>
  <si>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</si>
  <si>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</si>
  <si>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</si>
  <si>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</si>
  <si>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</si>
  <si>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</si>
  <si>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</si>
  <si>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</si>
  <si>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</si>
  <si>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</si>
  <si>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</si>
  <si>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</si>
  <si>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</si>
  <si>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</si>
  <si>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</si>
  <si>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</si>
  <si>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</si>
  <si>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</si>
  <si>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</si>
  <si>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</si>
  <si>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</si>
  <si>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</si>
  <si>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</si>
  <si>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</si>
  <si>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</si>
  <si>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</si>
  <si>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</si>
  <si>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</si>
  <si>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</si>
  <si>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</si>
  <si>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</si>
  <si>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</si>
  <si>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</si>
  <si>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</si>
  <si>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</si>
  <si>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</si>
  <si>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</si>
  <si>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</si>
  <si>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</si>
  <si>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</si>
  <si>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</si>
  <si>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</si>
  <si>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</si>
  <si>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</si>
  <si>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</si>
  <si>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</si>
  <si>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</si>
  <si>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</si>
  <si>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</si>
  <si>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</si>
  <si>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</si>
  <si>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</si>
  <si>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</si>
  <si>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</si>
  <si>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</si>
  <si>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</si>
  <si>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</si>
  <si>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</si>
  <si>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</si>
  <si>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</si>
  <si>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</si>
  <si>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</si>
  <si>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</si>
  <si>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</si>
  <si>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</si>
  <si>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</si>
  <si>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</si>
  <si>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</si>
  <si>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</si>
  <si>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</si>
  <si>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</si>
  <si>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</si>
  <si>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</si>
  <si>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</si>
  <si>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</si>
  <si>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</si>
  <si>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</si>
  <si>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</si>
  <si>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</si>
  <si>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</si>
  <si>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</si>
  <si>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</si>
  <si>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</si>
  <si>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</si>
  <si>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</si>
  <si>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</si>
  <si>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</si>
  <si>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</si>
  <si>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</si>
  <si>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</si>
  <si>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</si>
  <si>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</si>
  <si>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</si>
  <si>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</si>
  <si>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</si>
  <si>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</si>
  <si>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</si>
  <si>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</si>
  <si>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</si>
  <si>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</si>
  <si>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</si>
  <si>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</si>
  <si>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</si>
  <si>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</si>
  <si>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</si>
  <si>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</si>
  <si>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</si>
  <si>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</si>
  <si>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</si>
  <si>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</si>
  <si>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</si>
  <si>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</si>
  <si>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</si>
  <si>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</si>
  <si>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</si>
  <si>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</si>
  <si>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</si>
  <si>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</si>
  <si>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</si>
  <si>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</si>
  <si>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</si>
  <si>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</si>
  <si>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</si>
  <si>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</si>
  <si>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</si>
  <si>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</si>
  <si>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</si>
  <si>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</si>
  <si>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</si>
  <si>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</si>
  <si>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</si>
  <si>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</si>
  <si>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</si>
  <si>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</si>
  <si>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</si>
  <si>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</si>
  <si>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</si>
  <si>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</si>
  <si>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</si>
  <si>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</si>
  <si>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</si>
  <si>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</si>
  <si>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</si>
  <si>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</si>
  <si>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</si>
  <si>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</si>
  <si>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</si>
  <si>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</si>
  <si>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</si>
  <si>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</si>
  <si>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</si>
  <si>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</si>
  <si>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</si>
  <si>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</si>
  <si>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</si>
  <si>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</si>
  <si>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</si>
  <si>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</si>
  <si>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</si>
  <si>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</si>
  <si>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</si>
  <si>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</si>
  <si>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</si>
  <si>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</si>
  <si>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</si>
  <si>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</si>
  <si>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</si>
  <si>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</si>
  <si>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</si>
  <si>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</si>
  <si>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</si>
  <si>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</si>
  <si>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</si>
  <si>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</si>
  <si>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</si>
  <si>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</si>
  <si>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</si>
  <si>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</si>
  <si>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</si>
  <si>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</si>
  <si>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</si>
  <si>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</si>
  <si>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</si>
  <si>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</si>
  <si>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</si>
  <si>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</si>
  <si>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</si>
  <si>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</si>
  <si>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</si>
  <si>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</si>
  <si>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</si>
  <si>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</si>
  <si>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</si>
  <si>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</si>
  <si>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</si>
  <si>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</si>
  <si>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</si>
  <si>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</si>
  <si>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</si>
  <si>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</si>
  <si>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</si>
  <si>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</si>
  <si>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</si>
  <si>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</si>
  <si>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</si>
  <si>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</si>
  <si>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</si>
  <si>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</si>
  <si>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</si>
  <si>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</si>
  <si>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</si>
  <si>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</si>
  <si>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</si>
  <si>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</si>
  <si>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</si>
  <si>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</si>
  <si>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</si>
  <si>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</si>
  <si>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</si>
  <si>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</si>
  <si>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</si>
  <si>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</si>
  <si>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</si>
  <si>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</si>
  <si>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</si>
  <si>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</si>
  <si>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</si>
  <si>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</si>
  <si>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</si>
  <si>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</si>
  <si>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</si>
  <si>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</si>
  <si>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</si>
  <si>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</si>
  <si>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</si>
  <si>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</si>
  <si>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</si>
  <si>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</si>
  <si>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</si>
  <si>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</si>
  <si>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</si>
  <si>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</si>
  <si>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</si>
  <si>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</si>
  <si>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</si>
  <si>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</si>
  <si>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</si>
  <si>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</si>
  <si>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</si>
  <si>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</si>
  <si>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</si>
  <si>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</si>
  <si>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</si>
  <si>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</si>
  <si>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</si>
  <si>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</si>
  <si>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</si>
  <si>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</si>
  <si>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</si>
  <si>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</si>
  <si>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</si>
  <si>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</si>
  <si>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</si>
  <si>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</si>
  <si>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</si>
  <si>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</si>
  <si>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</si>
  <si>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</si>
  <si>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</si>
  <si>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</si>
  <si>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</si>
  <si>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</si>
  <si>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</si>
  <si>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</si>
  <si>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</si>
  <si>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</si>
  <si>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</si>
  <si>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</si>
  <si>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</si>
  <si>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</si>
  <si>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</si>
  <si>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</si>
  <si>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</si>
  <si>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</si>
  <si>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</si>
  <si>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</si>
  <si>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</si>
  <si>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</si>
  <si>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</si>
  <si>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</si>
  <si>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</si>
  <si>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</si>
  <si>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</si>
  <si>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</si>
  <si>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</si>
  <si>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</si>
  <si>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</si>
  <si>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</si>
  <si>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</si>
  <si>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</si>
  <si>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</si>
  <si>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</si>
  <si>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</si>
  <si>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</si>
  <si>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</si>
  <si>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</si>
  <si>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</si>
  <si>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</si>
  <si>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</si>
  <si>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</si>
  <si>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</si>
  <si>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</si>
  <si>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</si>
  <si>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</si>
  <si>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</si>
  <si>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</si>
  <si>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</si>
  <si>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</si>
  <si>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</si>
  <si>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</si>
  <si>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</si>
  <si>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</si>
  <si>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</si>
  <si>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</si>
  <si>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</si>
  <si>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</si>
  <si>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</si>
  <si>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</si>
  <si>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</si>
  <si>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</si>
  <si>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</si>
  <si>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</si>
  <si>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</si>
  <si>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</si>
  <si>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</si>
  <si>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</si>
  <si>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</si>
  <si>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</si>
  <si>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</si>
  <si>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</si>
  <si>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</si>
  <si>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</si>
  <si>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</si>
  <si>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</si>
  <si>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</si>
  <si>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</si>
  <si>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</si>
  <si>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</si>
  <si>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</si>
  <si>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</si>
  <si>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</si>
  <si>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</si>
  <si>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</si>
  <si>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</si>
  <si>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</si>
  <si>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</si>
  <si>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</si>
  <si>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</si>
  <si>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</si>
  <si>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</si>
  <si>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</si>
  <si>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</si>
  <si>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</si>
  <si>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</si>
  <si>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</si>
  <si>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</si>
  <si>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</si>
  <si>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</si>
  <si>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</si>
  <si>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</si>
  <si>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</si>
  <si>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</si>
  <si>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</si>
  <si>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</si>
  <si>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</si>
  <si>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</si>
  <si>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</si>
  <si>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</si>
  <si>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</si>
  <si>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</si>
  <si>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</si>
  <si>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</si>
  <si>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</si>
  <si>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</si>
  <si>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</si>
  <si>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</si>
  <si>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</si>
  <si>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</si>
  <si>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</si>
  <si>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</si>
  <si>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</si>
  <si>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</si>
  <si>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</si>
  <si>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</si>
  <si>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</si>
  <si>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</si>
  <si>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</si>
  <si>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</si>
  <si>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</si>
  <si>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</si>
  <si>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</si>
  <si>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</si>
  <si>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</si>
  <si>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</si>
  <si>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</si>
  <si>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</si>
  <si>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</si>
  <si>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</si>
  <si>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</si>
  <si>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</si>
  <si>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</si>
  <si>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</si>
  <si>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</si>
  <si>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</si>
  <si>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</si>
  <si>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</si>
  <si>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</si>
  <si>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</si>
  <si>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</si>
  <si>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</si>
  <si>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</si>
  <si>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</si>
  <si>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</si>
  <si>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</si>
  <si>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</si>
  <si>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</si>
  <si>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</si>
  <si>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</si>
  <si>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</si>
  <si>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</si>
  <si>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</si>
  <si>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</si>
  <si>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</si>
  <si>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</si>
  <si>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</si>
  <si>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</si>
  <si>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</si>
  <si>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</si>
  <si>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</si>
  <si>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</si>
  <si>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</si>
  <si>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</si>
  <si>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</si>
  <si>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</si>
  <si>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</si>
  <si>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</si>
  <si>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</si>
  <si>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</si>
  <si>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</si>
  <si>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</si>
  <si>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</si>
  <si>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</si>
  <si>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</si>
  <si>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</si>
  <si>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</si>
  <si>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</si>
  <si>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</si>
  <si>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</si>
  <si>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</si>
  <si>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</si>
  <si>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</si>
  <si>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</si>
  <si>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</si>
  <si>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</si>
  <si>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</si>
  <si>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</si>
  <si>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</si>
  <si>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</si>
  <si>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</si>
  <si>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</si>
  <si>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</si>
  <si>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</si>
  <si>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</si>
  <si>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</si>
  <si>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</si>
  <si>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</si>
  <si>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</si>
  <si>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</si>
  <si>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</si>
  <si>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</si>
  <si>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</si>
  <si>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</si>
  <si>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</si>
  <si>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</si>
  <si>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</si>
  <si>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</si>
  <si>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</si>
  <si>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</si>
  <si>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</si>
  <si>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</si>
  <si>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</si>
  <si>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</si>
  <si>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</si>
  <si>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</si>
  <si>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</si>
  <si>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</si>
  <si>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</si>
  <si>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</si>
  <si>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</si>
  <si>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</si>
  <si>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</si>
  <si>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</si>
  <si>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</si>
  <si>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</si>
  <si>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</si>
  <si>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</si>
  <si>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</si>
  <si>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</si>
  <si>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</si>
  <si>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</si>
  <si>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</si>
  <si>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</si>
  <si>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</si>
  <si>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</si>
  <si>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</si>
  <si>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</si>
  <si>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</si>
  <si>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</si>
  <si>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</si>
  <si>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</si>
  <si>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</si>
  <si>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</si>
  <si>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</si>
  <si>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</si>
  <si>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</si>
  <si>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</si>
  <si>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</si>
  <si>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</si>
  <si>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</si>
  <si>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</si>
  <si>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</si>
  <si>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</si>
  <si>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</si>
  <si>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</si>
  <si>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</si>
  <si>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</si>
  <si>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</si>
  <si>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</si>
  <si>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</si>
  <si>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</si>
  <si>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</si>
  <si>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</si>
  <si>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</si>
  <si>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</si>
  <si>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</si>
  <si>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</si>
  <si>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</si>
  <si>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</si>
  <si>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</si>
  <si>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</si>
  <si>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</si>
  <si>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</si>
  <si>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</si>
  <si>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</si>
  <si>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</si>
  <si>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</si>
  <si>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</si>
  <si>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</si>
  <si>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</si>
  <si>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</si>
  <si>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</si>
  <si>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</si>
  <si>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</si>
  <si>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</si>
  <si>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</si>
  <si>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</si>
  <si>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</si>
  <si>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</si>
  <si>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</si>
  <si>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</si>
  <si>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</si>
  <si>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</si>
  <si>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</si>
  <si>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</si>
  <si>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</si>
  <si>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</si>
  <si>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</si>
  <si>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</si>
  <si>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</si>
  <si>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</si>
  <si>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</si>
  <si>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</si>
  <si>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</si>
  <si>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</si>
  <si>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</si>
  <si>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</si>
  <si>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</si>
  <si>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</si>
  <si>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</si>
  <si>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</si>
  <si>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</si>
  <si>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</si>
  <si>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</si>
  <si>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</si>
  <si>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</si>
  <si>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</si>
  <si>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</si>
  <si>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</si>
  <si>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</si>
  <si>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</si>
  <si>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</si>
  <si>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</si>
  <si>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</si>
  <si>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</si>
  <si>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</si>
  <si>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</si>
  <si>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</si>
  <si>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</si>
  <si>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</si>
  <si>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</si>
  <si>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</si>
  <si>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</si>
  <si>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</si>
  <si>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</si>
  <si>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</si>
  <si>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</si>
  <si>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</si>
  <si>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</si>
  <si>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</si>
  <si>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</si>
  <si>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</si>
  <si>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</si>
  <si>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</si>
  <si>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</si>
  <si>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</si>
  <si>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</si>
  <si>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</si>
  <si>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</si>
  <si>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</si>
  <si>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</si>
  <si>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</si>
  <si>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</si>
  <si>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</si>
  <si>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</si>
  <si>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</si>
  <si>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</si>
  <si>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</si>
  <si>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</si>
  <si>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</si>
  <si>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</si>
  <si>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</si>
  <si>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</si>
  <si>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</si>
  <si>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</si>
  <si>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</si>
  <si>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</si>
  <si>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</si>
  <si>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</si>
  <si>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</si>
  <si>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</si>
  <si>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</si>
  <si>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</si>
  <si>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</si>
  <si>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</si>
  <si>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</si>
  <si>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</si>
  <si>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</si>
  <si>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</si>
  <si>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</si>
  <si>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</si>
  <si>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</si>
  <si>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</si>
  <si>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</si>
  <si>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</si>
  <si>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</si>
  <si>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</si>
  <si>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</si>
  <si>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</si>
  <si>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</si>
  <si>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</si>
  <si>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</si>
  <si>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</si>
  <si>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</si>
  <si>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</si>
  <si>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</si>
  <si>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</si>
  <si>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</si>
  <si>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</si>
  <si>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</si>
  <si>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</si>
  <si>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</si>
  <si>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</si>
  <si>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</si>
  <si>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</si>
  <si>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</si>
  <si>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</si>
  <si>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</si>
  <si>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</si>
  <si>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</si>
  <si>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</si>
  <si>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</si>
  <si>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</si>
  <si>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</si>
  <si>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</si>
  <si>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</si>
  <si>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</si>
  <si>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</si>
  <si>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</si>
  <si>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</si>
  <si>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</si>
  <si>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</si>
  <si>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</si>
  <si>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</si>
  <si>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</si>
  <si>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</si>
  <si>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</si>
  <si>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</si>
  <si>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</si>
  <si>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</si>
  <si>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</si>
  <si>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</si>
  <si>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</si>
  <si>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</si>
  <si>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</si>
  <si>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</si>
  <si>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</si>
  <si>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</si>
  <si>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</si>
  <si>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</si>
  <si>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</si>
  <si>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</si>
  <si>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</si>
  <si>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</si>
  <si>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</si>
  <si>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</si>
  <si>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</si>
  <si>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</si>
  <si>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</si>
  <si>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</si>
  <si>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</si>
  <si>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</si>
  <si>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</si>
  <si>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</si>
  <si>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</si>
  <si>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</si>
  <si>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</si>
  <si>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</si>
  <si>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</si>
  <si>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</si>
  <si>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</si>
  <si>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</si>
  <si>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</si>
  <si>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</si>
  <si>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</si>
  <si>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</si>
  <si>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</si>
  <si>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</si>
  <si>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</si>
  <si>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</si>
  <si>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</si>
  <si>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</si>
  <si>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</si>
  <si>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</si>
  <si>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</si>
  <si>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</si>
  <si>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</si>
  <si>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</si>
  <si>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</si>
  <si>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</si>
  <si>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</si>
  <si>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</si>
  <si>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</si>
  <si>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</si>
  <si>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</si>
  <si>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</si>
  <si>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</si>
  <si>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</si>
  <si>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</si>
  <si>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</si>
  <si>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</si>
  <si>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</si>
  <si>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</si>
  <si>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</si>
  <si>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</si>
  <si>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</si>
  <si>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</si>
  <si>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</si>
  <si>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</si>
  <si>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</si>
  <si>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</si>
  <si>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</si>
  <si>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</si>
  <si>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</si>
  <si>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</si>
  <si>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</si>
  <si>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</si>
  <si>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</si>
  <si>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</si>
  <si>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</si>
  <si>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</si>
  <si>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</si>
  <si>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</si>
  <si>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</si>
  <si>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</si>
  <si>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</si>
  <si>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</si>
  <si>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</si>
  <si>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</si>
  <si>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</si>
  <si>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</si>
  <si>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</si>
  <si>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</si>
  <si>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</si>
  <si>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</si>
  <si>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</si>
  <si>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</si>
  <si>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</si>
  <si>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</si>
  <si>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</si>
  <si>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</si>
  <si>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</si>
  <si>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</si>
  <si>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</si>
  <si>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</si>
  <si>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</si>
  <si>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</si>
  <si>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</si>
  <si>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</si>
  <si>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</si>
  <si>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</si>
  <si>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</si>
  <si>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</si>
  <si>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</si>
  <si>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</si>
  <si>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</si>
  <si>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</si>
  <si>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</si>
  <si>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</si>
  <si>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</si>
  <si>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</si>
  <si>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</si>
  <si>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</si>
  <si>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</si>
  <si>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</si>
  <si>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</si>
  <si>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</si>
  <si>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</si>
  <si>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</si>
  <si>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</si>
  <si>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</si>
  <si>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</si>
  <si>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</si>
  <si>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</si>
  <si>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</si>
  <si>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</si>
  <si>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</si>
  <si>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</si>
  <si>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</si>
  <si>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</si>
  <si>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</si>
  <si>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</si>
  <si>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</si>
  <si>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</si>
  <si>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</si>
  <si>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</si>
  <si>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</si>
  <si>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</si>
  <si>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</si>
  <si>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</si>
  <si>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</si>
  <si>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</si>
  <si>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</si>
  <si>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</si>
  <si>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</si>
  <si>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</si>
  <si>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</si>
  <si>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</si>
  <si>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</si>
  <si>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</si>
  <si>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</si>
  <si>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</si>
  <si>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</si>
  <si>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</si>
  <si>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</si>
  <si>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</si>
  <si>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</si>
  <si>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</si>
  <si>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</si>
  <si>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</si>
  <si>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</si>
  <si>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</si>
  <si>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</si>
  <si>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</si>
  <si>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</si>
  <si>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</si>
  <si>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</si>
  <si>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</si>
  <si>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</si>
  <si>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</si>
  <si>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</si>
  <si>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</si>
  <si>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</si>
  <si>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</si>
  <si>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</si>
  <si>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</si>
  <si>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</si>
  <si>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</si>
  <si>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</si>
  <si>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</si>
  <si>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</si>
  <si>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</si>
  <si>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</si>
  <si>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</si>
  <si>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</si>
  <si>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</si>
  <si>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</si>
  <si>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</si>
  <si>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</si>
  <si>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</si>
  <si>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</si>
  <si>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</si>
  <si>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</si>
  <si>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</si>
  <si>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</si>
  <si>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</si>
  <si>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</si>
  <si>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</si>
  <si>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</si>
  <si>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</si>
  <si>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</si>
  <si>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</si>
  <si>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</si>
  <si>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</si>
  <si>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</si>
  <si>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</si>
  <si>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</si>
  <si>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</si>
  <si>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</si>
  <si>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</si>
  <si>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</si>
  <si>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</si>
  <si>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</si>
  <si>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</si>
  <si>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</si>
  <si>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</si>
  <si>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</si>
  <si>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</si>
  <si>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</si>
  <si>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</si>
  <si>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</si>
  <si>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</si>
  <si>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</si>
  <si>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</si>
  <si>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</si>
  <si>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</si>
  <si>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</si>
  <si>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</si>
  <si>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</si>
  <si>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</si>
  <si>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</si>
  <si>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</si>
  <si>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</si>
  <si>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</si>
  <si>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</si>
  <si>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</si>
  <si>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</si>
  <si>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</si>
  <si>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</si>
  <si>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</si>
  <si>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</si>
  <si>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</si>
  <si>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</si>
  <si>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</si>
  <si>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</si>
  <si>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</si>
  <si>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</si>
  <si>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</si>
  <si>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</si>
  <si>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</si>
  <si>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</si>
  <si>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</si>
  <si>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</si>
  <si>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</si>
  <si>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</si>
  <si>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</si>
  <si>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</si>
  <si>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</si>
  <si>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</si>
  <si>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</si>
  <si>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</si>
  <si>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</si>
  <si>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</si>
  <si>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</si>
  <si>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</si>
  <si>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</si>
  <si>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</si>
  <si>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</si>
  <si>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</si>
  <si>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</si>
  <si>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</si>
  <si>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</si>
  <si>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</si>
  <si>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</si>
  <si>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</si>
  <si>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</si>
  <si>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</si>
  <si>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</si>
  <si>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</si>
  <si>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</si>
  <si>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</si>
  <si>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</si>
  <si>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</si>
  <si>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</si>
  <si>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</si>
  <si>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</si>
  <si>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</si>
  <si>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</si>
  <si>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</si>
  <si>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</si>
  <si>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</si>
  <si>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</si>
  <si>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</si>
  <si>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</si>
  <si>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</si>
  <si>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</si>
  <si>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</si>
  <si>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</si>
  <si>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</si>
  <si>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</si>
  <si>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</si>
  <si>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</si>
  <si>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</si>
  <si>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</si>
  <si>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</si>
  <si>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</si>
  <si>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</si>
  <si>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</si>
  <si>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</si>
  <si>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</si>
  <si>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</si>
  <si>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</si>
  <si>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</si>
  <si>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</si>
  <si>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</si>
  <si>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</si>
  <si>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</si>
  <si>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</si>
  <si>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</si>
  <si>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</si>
  <si>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</si>
  <si>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</si>
  <si>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</si>
  <si>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</si>
  <si>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</si>
  <si>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</si>
  <si>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</si>
  <si>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</si>
  <si>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</si>
  <si>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</si>
  <si>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</si>
  <si>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</si>
  <si>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</si>
  <si>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</si>
  <si>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</si>
  <si>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</si>
  <si>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</si>
  <si>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</si>
  <si>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</si>
  <si>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</si>
  <si>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</si>
  <si>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</si>
  <si>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</si>
  <si>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</si>
  <si>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</si>
  <si>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</si>
  <si>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</si>
  <si>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</si>
  <si>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</si>
  <si>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</si>
  <si>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</si>
  <si>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</si>
  <si>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</si>
  <si>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</si>
  <si>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</si>
  <si>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</si>
  <si>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</si>
  <si>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</si>
  <si>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</si>
  <si>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</si>
  <si>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</si>
  <si>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</si>
  <si>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</si>
  <si>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</si>
  <si>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</si>
  <si>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</si>
  <si>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</si>
  <si>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</si>
  <si>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</si>
  <si>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</si>
  <si>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</si>
  <si>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</si>
  <si>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</si>
  <si>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</si>
  <si>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</si>
  <si>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</si>
  <si>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</si>
  <si>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</si>
  <si>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</si>
  <si>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</si>
  <si>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</si>
  <si>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</si>
  <si>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</si>
  <si>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</si>
  <si>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</si>
  <si>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</si>
  <si>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</si>
  <si>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</si>
  <si>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</si>
  <si>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</si>
  <si>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</si>
  <si>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</si>
  <si>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</si>
  <si>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</si>
  <si>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</si>
  <si>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</si>
  <si>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</si>
  <si>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</si>
  <si>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</si>
  <si>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</si>
  <si>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</si>
  <si>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</si>
  <si>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</si>
  <si>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</si>
  <si>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</si>
  <si>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</si>
  <si>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</si>
  <si>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</si>
  <si>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</si>
  <si>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</si>
  <si>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</si>
  <si>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</si>
  <si>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</si>
  <si>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</si>
  <si>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</si>
  <si>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</si>
  <si>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</si>
  <si>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</si>
  <si>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</si>
  <si>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</si>
  <si>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</si>
  <si>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</si>
  <si>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</si>
  <si>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</si>
  <si>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</si>
  <si>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</si>
  <si>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</si>
  <si>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</si>
  <si>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</si>
  <si>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</si>
  <si>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</si>
  <si>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</si>
  <si>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</si>
  <si>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</si>
  <si>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</si>
  <si>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</si>
  <si>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</si>
  <si>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</si>
  <si>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</si>
  <si>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</si>
  <si>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</si>
  <si>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</si>
  <si>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</si>
  <si>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</si>
  <si>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</si>
  <si>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</si>
  <si>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</si>
  <si>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</si>
  <si>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</si>
  <si>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</si>
  <si>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</si>
  <si>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</si>
  <si>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</si>
  <si>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</si>
  <si>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</si>
  <si>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</si>
  <si>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</si>
  <si>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</si>
  <si>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</si>
  <si>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</si>
  <si>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</si>
  <si>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</si>
  <si>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</si>
  <si>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</si>
  <si>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</si>
  <si>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</si>
  <si>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</si>
  <si>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</si>
  <si>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</si>
  <si>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</si>
  <si>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</si>
  <si>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</si>
  <si>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</si>
  <si>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</si>
  <si>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</si>
  <si>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</si>
  <si>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</si>
  <si>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</si>
  <si>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</si>
  <si>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</si>
  <si>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</si>
  <si>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</si>
  <si>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</si>
  <si>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</si>
  <si>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</si>
  <si>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</si>
  <si>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</si>
  <si>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</si>
  <si>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</si>
  <si>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</si>
  <si>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</si>
  <si>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</si>
  <si>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</si>
  <si>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</si>
  <si>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</si>
  <si>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</si>
  <si>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</si>
  <si>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</si>
  <si>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</si>
  <si>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</si>
  <si>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</si>
  <si>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</si>
  <si>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</si>
  <si>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</si>
  <si>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</si>
  <si>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</si>
  <si>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</si>
  <si>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</si>
  <si>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</si>
  <si>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</si>
  <si>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</si>
  <si>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</si>
  <si>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</si>
  <si>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</si>
  <si>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</si>
  <si>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</si>
  <si>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</si>
  <si>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</si>
  <si>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</si>
  <si>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</si>
  <si>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</si>
  <si>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</si>
  <si>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</si>
  <si>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</si>
  <si>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</si>
  <si>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</si>
  <si>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</si>
  <si>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</si>
  <si>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</si>
  <si>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</si>
  <si>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</si>
  <si>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</si>
  <si>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</si>
  <si>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</si>
  <si>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</si>
  <si>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</si>
  <si>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</si>
  <si>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</si>
  <si>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</si>
  <si>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</si>
  <si>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</si>
  <si>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</si>
  <si>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</si>
  <si>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</si>
  <si>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</si>
  <si>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</si>
  <si>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</si>
  <si>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</si>
  <si>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</si>
  <si>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</si>
  <si>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</si>
  <si>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</si>
  <si>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</si>
  <si>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</si>
  <si>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</si>
  <si>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</si>
  <si>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</si>
  <si>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</si>
  <si>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</si>
  <si>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</si>
  <si>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</si>
  <si>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</si>
  <si>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</si>
  <si>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</si>
  <si>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</si>
  <si>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</si>
  <si>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</si>
  <si>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</si>
  <si>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</si>
  <si>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</si>
  <si>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</si>
  <si>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</si>
  <si>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</si>
  <si>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</si>
  <si>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</si>
  <si>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</si>
  <si>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</si>
  <si>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</si>
  <si>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</si>
  <si>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</si>
  <si>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</si>
  <si>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</si>
  <si>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</si>
  <si>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</si>
  <si>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</si>
  <si>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</si>
  <si>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</si>
  <si>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</si>
  <si>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</si>
  <si>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</si>
  <si>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</si>
  <si>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</si>
  <si>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</si>
  <si>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</si>
  <si>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</si>
  <si>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</si>
  <si>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</si>
  <si>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</si>
  <si>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</si>
  <si>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</si>
  <si>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</si>
  <si>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</si>
  <si>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</si>
  <si>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</si>
  <si>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</si>
  <si>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</si>
  <si>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</si>
  <si>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</si>
  <si>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</si>
  <si>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</si>
  <si>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</si>
  <si>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</si>
  <si>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</si>
  <si>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</si>
  <si>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</si>
  <si>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</si>
  <si>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</si>
  <si>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</si>
  <si>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</si>
  <si>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</si>
  <si>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</si>
  <si>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</si>
  <si>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</si>
  <si>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</si>
  <si>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</si>
  <si>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</si>
  <si>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</si>
  <si>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</si>
  <si>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</si>
  <si>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</si>
  <si>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</si>
  <si>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</si>
  <si>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</si>
  <si>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</si>
  <si>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</si>
  <si>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</si>
  <si>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</si>
  <si>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</si>
  <si>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</si>
  <si>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</si>
  <si>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</si>
  <si>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</si>
  <si>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</si>
  <si>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</si>
  <si>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</si>
  <si>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</si>
  <si>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</si>
  <si>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</si>
  <si>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</si>
  <si>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</si>
  <si>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</si>
  <si>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</si>
  <si>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</si>
  <si>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</si>
  <si>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</si>
  <si>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</si>
  <si>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</si>
  <si>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</si>
  <si>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</si>
  <si>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</si>
  <si>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</si>
  <si>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</si>
  <si>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</si>
  <si>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</si>
  <si>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</si>
  <si>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</si>
  <si>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</si>
  <si>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</si>
  <si>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</si>
  <si>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</si>
  <si>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</si>
  <si>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</si>
  <si>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</si>
  <si>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</si>
  <si>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</si>
  <si>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</si>
  <si>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</si>
  <si>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</si>
  <si>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</si>
  <si>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</si>
  <si>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</si>
  <si>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</si>
  <si>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</si>
  <si>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</si>
  <si>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</si>
  <si>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</si>
  <si>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</si>
  <si>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</si>
  <si>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</si>
  <si>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</si>
  <si>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</si>
  <si>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</si>
  <si>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</si>
  <si>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</si>
  <si>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</si>
  <si>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</si>
  <si>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</si>
  <si>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</si>
  <si>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</si>
  <si>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</si>
  <si>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</si>
  <si>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</si>
  <si>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</si>
  <si>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</si>
  <si>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</si>
  <si>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</si>
  <si>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</si>
  <si>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</si>
  <si>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</si>
  <si>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</si>
  <si>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</si>
  <si>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</si>
  <si>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</si>
  <si>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</si>
  <si>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</si>
  <si>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</si>
  <si>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</si>
  <si>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</si>
  <si>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</si>
  <si>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</si>
  <si>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</si>
  <si>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</si>
  <si>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</si>
  <si>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</si>
  <si>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</si>
  <si>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</si>
  <si>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</si>
  <si>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</si>
  <si>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</si>
  <si>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</si>
  <si>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</si>
  <si>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</si>
  <si>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</si>
  <si>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</si>
  <si>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</si>
  <si>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</si>
  <si>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</si>
  <si>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</si>
  <si>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</si>
  <si>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</si>
  <si>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</si>
  <si>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</si>
  <si>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</si>
  <si>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</si>
  <si>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</si>
  <si>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</si>
  <si>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</si>
  <si>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</si>
  <si>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</si>
  <si>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</si>
  <si>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</si>
  <si>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</si>
  <si>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</si>
  <si>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</si>
  <si>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</si>
  <si>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</si>
  <si>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</si>
  <si>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</si>
  <si>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</si>
  <si>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</si>
  <si>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</si>
  <si>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</si>
  <si>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</si>
  <si>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</si>
  <si>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</si>
  <si>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</si>
  <si>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</si>
  <si>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</si>
  <si>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</si>
  <si>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</si>
  <si>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</si>
  <si>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</si>
  <si>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</si>
  <si>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</si>
  <si>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</si>
  <si>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</si>
  <si>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</si>
  <si>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</si>
  <si>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</si>
  <si>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</si>
  <si>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</si>
  <si>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</si>
  <si>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</si>
  <si>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</si>
  <si>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</si>
  <si>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</si>
  <si>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</si>
  <si>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</si>
  <si>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</si>
  <si>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</si>
  <si>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</si>
  <si>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</si>
  <si>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</si>
  <si>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</si>
  <si>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</si>
  <si>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</si>
  <si>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</si>
  <si>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</si>
  <si>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</si>
  <si>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</si>
  <si>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</si>
  <si>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</si>
  <si>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</si>
  <si>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</si>
  <si>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</si>
  <si>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</si>
  <si>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</si>
  <si>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</si>
  <si>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</si>
  <si>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</si>
  <si>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</si>
  <si>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</si>
  <si>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</si>
  <si>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</si>
  <si>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</si>
  <si>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</si>
  <si>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</si>
  <si>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</si>
  <si>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</si>
  <si>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</si>
  <si>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</si>
  <si>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</si>
  <si>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</si>
  <si>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</si>
  <si>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</si>
  <si>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</si>
  <si>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</si>
  <si>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</si>
  <si>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</si>
  <si>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</si>
  <si>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</si>
  <si>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</si>
  <si>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</si>
  <si>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</si>
  <si>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</si>
  <si>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</si>
  <si>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</si>
  <si>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</si>
  <si>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</si>
  <si>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</si>
  <si>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</si>
  <si>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</si>
  <si>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</si>
  <si>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</si>
  <si>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</si>
  <si>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</si>
  <si>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</si>
  <si>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</si>
  <si>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</si>
  <si>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</si>
  <si>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</si>
  <si>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</si>
  <si>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</si>
  <si>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</si>
  <si>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</si>
  <si>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</si>
  <si>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</si>
  <si>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</si>
  <si>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</si>
  <si>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</si>
  <si>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</si>
  <si>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</si>
  <si>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</si>
  <si>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</si>
  <si>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</si>
  <si>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</si>
  <si>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</si>
  <si>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</si>
  <si>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</si>
  <si>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</si>
  <si>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</si>
  <si>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</si>
  <si>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</si>
  <si>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</si>
  <si>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</si>
  <si>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</si>
  <si>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</si>
  <si>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</si>
  <si>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</si>
  <si>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</si>
  <si>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</si>
  <si>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</si>
  <si>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</si>
  <si>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</si>
  <si>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</si>
  <si>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</si>
  <si>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</si>
  <si>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</si>
  <si>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</si>
  <si>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</si>
  <si>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</si>
  <si>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</si>
  <si>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</si>
  <si>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</si>
  <si>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</si>
  <si>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</si>
  <si>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</si>
  <si>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</si>
  <si>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</si>
  <si>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</si>
  <si>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</si>
  <si>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</si>
  <si>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</si>
  <si>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</si>
  <si>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</si>
  <si>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</si>
  <si>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</si>
  <si>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</si>
  <si>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</si>
  <si>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</si>
  <si>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</si>
  <si>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</si>
  <si>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</si>
  <si>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</si>
  <si>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</si>
  <si>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</si>
  <si>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</si>
  <si>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</si>
  <si>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</si>
  <si>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</si>
  <si>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</si>
  <si>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</si>
  <si>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</si>
  <si>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</si>
  <si>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</si>
  <si>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</si>
  <si>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</si>
  <si>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</si>
  <si>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</si>
  <si>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</si>
  <si>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</si>
  <si>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</si>
  <si>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</si>
  <si>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</si>
  <si>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</si>
  <si>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</si>
  <si>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</si>
  <si>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</si>
  <si>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</si>
  <si>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</si>
  <si>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</si>
  <si>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</si>
  <si>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</si>
  <si>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</si>
  <si>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</si>
  <si>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</si>
  <si>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</si>
  <si>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</si>
  <si>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</si>
  <si>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</si>
  <si>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</si>
  <si>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</si>
  <si>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</si>
  <si>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</si>
  <si>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</si>
  <si>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</si>
  <si>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</si>
  <si>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</si>
  <si>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</si>
  <si>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</si>
  <si>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</si>
  <si>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</si>
  <si>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</si>
  <si>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</si>
  <si>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</si>
  <si>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</si>
  <si>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</si>
  <si>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</si>
  <si>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</si>
  <si>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</si>
  <si>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</si>
  <si>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</si>
  <si>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</si>
  <si>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</si>
  <si>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</si>
  <si>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</si>
  <si>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</si>
  <si>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</si>
  <si>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</si>
  <si>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</si>
  <si>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</si>
  <si>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</si>
  <si>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</si>
  <si>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</si>
  <si>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</si>
  <si>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</si>
  <si>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</si>
  <si>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</si>
  <si>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</si>
  <si>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</si>
  <si>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</si>
  <si>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</si>
  <si>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</si>
  <si>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</si>
  <si>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</si>
  <si>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</si>
  <si>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</si>
  <si>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</si>
  <si>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</si>
  <si>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</si>
  <si>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</si>
  <si>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</si>
  <si>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</si>
  <si>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</si>
  <si>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</si>
  <si>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</si>
  <si>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</si>
  <si>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</si>
  <si>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</si>
  <si>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</si>
  <si>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</si>
  <si>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</si>
  <si>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</si>
  <si>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</si>
  <si>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</si>
  <si>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</si>
  <si>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</si>
  <si>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</si>
  <si>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</si>
  <si>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</si>
  <si>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</si>
  <si>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</si>
  <si>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</si>
  <si>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</si>
  <si>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</si>
  <si>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</si>
  <si>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</si>
  <si>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</si>
  <si>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</si>
  <si>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</si>
  <si>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</si>
  <si>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</si>
  <si>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</si>
  <si>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</si>
  <si>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</si>
  <si>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</si>
  <si>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</si>
  <si>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</si>
  <si>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</si>
  <si>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</si>
  <si>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</si>
  <si>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</si>
  <si>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</si>
  <si>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</si>
  <si>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</si>
  <si>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</si>
  <si>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</si>
  <si>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</si>
  <si>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</si>
  <si>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</si>
  <si>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</si>
  <si>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</si>
  <si>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</si>
  <si>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</si>
  <si>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</si>
  <si>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</si>
  <si>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</si>
  <si>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</si>
  <si>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</si>
  <si>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</si>
  <si>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</si>
  <si>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</si>
  <si>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</si>
  <si>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</si>
  <si>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</si>
  <si>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</si>
  <si>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</si>
  <si>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</si>
  <si>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</si>
  <si>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</si>
  <si>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</si>
  <si>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</si>
  <si>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</si>
  <si>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</si>
  <si>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</si>
  <si>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</si>
  <si>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</si>
  <si>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</si>
  <si>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</si>
  <si>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</si>
  <si>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</si>
  <si>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</si>
  <si>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</si>
  <si>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</si>
  <si>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</si>
  <si>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</si>
  <si>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</si>
  <si>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</si>
  <si>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</si>
  <si>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</si>
  <si>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</si>
  <si>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</si>
  <si>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</si>
  <si>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</si>
  <si>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</si>
  <si>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</si>
  <si>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</si>
  <si>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</si>
  <si>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</si>
  <si>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</si>
  <si>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</si>
  <si>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</si>
  <si>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</si>
  <si>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</si>
  <si>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</si>
  <si>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</si>
  <si>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</si>
  <si>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</si>
  <si>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</si>
  <si>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</si>
  <si>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</si>
  <si>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</si>
  <si>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</si>
  <si>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</si>
  <si>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</si>
  <si>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</si>
  <si>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</si>
  <si>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</si>
  <si>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</si>
  <si>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</si>
  <si>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</si>
  <si>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</si>
  <si>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</si>
  <si>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</si>
  <si>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</si>
  <si>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</si>
  <si>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</si>
  <si>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</si>
  <si>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</si>
  <si>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</si>
  <si>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</si>
  <si>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</si>
  <si>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</si>
  <si>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</si>
  <si>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</si>
  <si>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</si>
  <si>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</si>
  <si>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</si>
  <si>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</si>
  <si>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</si>
  <si>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</si>
  <si>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</si>
  <si>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</si>
  <si>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</si>
  <si>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</si>
  <si>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</si>
  <si>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</si>
  <si>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</si>
  <si>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</si>
  <si>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</si>
  <si>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</si>
  <si>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</si>
  <si>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</si>
  <si>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</si>
  <si>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</si>
  <si>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</si>
  <si>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</si>
  <si>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</si>
  <si>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</si>
  <si>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</si>
  <si>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</si>
  <si>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</si>
  <si>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</si>
  <si>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</si>
  <si>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</si>
  <si>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</si>
  <si>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</si>
  <si>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</si>
  <si>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</si>
  <si>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</si>
  <si>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</si>
  <si>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</si>
  <si>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</si>
  <si>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</si>
  <si>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</si>
  <si>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</si>
  <si>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</si>
  <si>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</si>
  <si>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</si>
  <si>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</si>
  <si>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</si>
  <si>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</si>
  <si>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</si>
  <si>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</si>
  <si>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</si>
  <si>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</si>
  <si>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</si>
  <si>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</si>
  <si>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</si>
  <si>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</si>
  <si>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</si>
  <si>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</si>
  <si>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</si>
  <si>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</si>
  <si>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</si>
  <si>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</si>
  <si>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</si>
  <si>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</si>
  <si>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</si>
  <si>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</si>
  <si>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</si>
  <si>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</si>
  <si>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</si>
  <si>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</si>
  <si>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</si>
  <si>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</si>
  <si>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</si>
  <si>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</si>
  <si>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</si>
  <si>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</si>
  <si>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</si>
  <si>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</si>
  <si>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</si>
  <si>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</si>
  <si>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</si>
  <si>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</si>
  <si>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</si>
  <si>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</si>
  <si>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</si>
  <si>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</si>
  <si>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</si>
  <si>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</si>
  <si>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</si>
  <si>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</si>
  <si>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</si>
  <si>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</si>
  <si>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</si>
  <si>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</si>
  <si>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</si>
  <si>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</si>
  <si>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</si>
  <si>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</si>
  <si>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</si>
  <si>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</si>
  <si>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</si>
  <si>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</si>
  <si>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</si>
  <si>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</si>
  <si>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</si>
  <si>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</si>
  <si>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</si>
  <si>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</si>
  <si>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</si>
  <si>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</si>
  <si>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</si>
  <si>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</si>
  <si>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</si>
  <si>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</si>
  <si>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</si>
  <si>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</si>
  <si>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</si>
  <si>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</si>
  <si>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</si>
  <si>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</si>
  <si>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</si>
  <si>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</si>
  <si>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</si>
  <si>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</si>
  <si>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</si>
  <si>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</si>
  <si>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</si>
  <si>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</si>
  <si>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</si>
  <si>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</si>
  <si>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</si>
  <si>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</si>
  <si>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</si>
  <si>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</si>
  <si>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</si>
  <si>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</si>
  <si>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</si>
  <si>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</si>
  <si>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</si>
  <si>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</si>
  <si>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</si>
  <si>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</si>
  <si>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</si>
  <si>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</si>
  <si>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</si>
  <si>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</si>
  <si>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</si>
  <si>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</si>
  <si>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</si>
  <si>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</si>
  <si>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</si>
  <si>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</si>
  <si>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</si>
  <si>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</si>
  <si>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</si>
  <si>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</si>
  <si>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</si>
  <si>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</si>
  <si>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</si>
  <si>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</si>
  <si>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</si>
  <si>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</si>
  <si>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</si>
  <si>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</si>
  <si>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</si>
  <si>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</si>
  <si>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</si>
  <si>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</si>
  <si>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</si>
  <si>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</si>
  <si>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</si>
  <si>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</si>
  <si>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</si>
  <si>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</si>
  <si>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</si>
  <si>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</si>
  <si>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</si>
  <si>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</si>
  <si>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</si>
  <si>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</si>
  <si>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</si>
  <si>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</si>
  <si>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</si>
  <si>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</si>
  <si>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</si>
  <si>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</si>
  <si>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</si>
  <si>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</si>
  <si>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</si>
  <si>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</si>
  <si>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</si>
  <si>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</si>
  <si>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</si>
  <si>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</si>
  <si>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</si>
  <si>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</si>
  <si>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</si>
  <si>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</si>
  <si>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</si>
  <si>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</si>
  <si>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</si>
  <si>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</si>
  <si>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</si>
  <si>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</si>
  <si>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</si>
  <si>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</si>
  <si>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</si>
  <si>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</si>
  <si>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</si>
  <si>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</si>
  <si>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</si>
  <si>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</si>
  <si>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</si>
  <si>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</si>
  <si>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</si>
  <si>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</si>
  <si>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</si>
  <si>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</si>
  <si>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</si>
  <si>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</si>
  <si>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</si>
  <si>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</si>
  <si>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</si>
  <si>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</si>
  <si>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</si>
  <si>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</si>
  <si>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</si>
  <si>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</si>
  <si>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</si>
  <si>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</si>
  <si>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</si>
  <si>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</si>
  <si>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</si>
  <si>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</si>
  <si>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</si>
  <si>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</si>
  <si>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</si>
  <si>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</si>
  <si>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</si>
  <si>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</si>
  <si>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</si>
  <si>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</si>
  <si>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</si>
  <si>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</si>
  <si>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</si>
  <si>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</si>
  <si>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</si>
  <si>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</si>
  <si>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</si>
  <si>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</si>
  <si>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</si>
  <si>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</si>
  <si>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</si>
  <si>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</si>
  <si>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</si>
  <si>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</si>
  <si>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</si>
  <si>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</si>
  <si>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</si>
  <si>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</si>
  <si>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</si>
  <si>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</si>
  <si>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</si>
  <si>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</si>
  <si>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</si>
  <si>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</si>
  <si>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</si>
  <si>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</si>
  <si>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</si>
  <si>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</si>
  <si>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</si>
  <si>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</si>
  <si>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</si>
  <si>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</si>
  <si>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</si>
  <si>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</si>
  <si>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</si>
  <si>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</si>
  <si>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</si>
  <si>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</si>
  <si>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</si>
  <si>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</si>
  <si>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</si>
  <si>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</si>
  <si>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</si>
  <si>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</si>
  <si>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</si>
  <si>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</si>
  <si>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</si>
  <si>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</si>
  <si>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</si>
  <si>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</si>
  <si>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</si>
  <si>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</si>
  <si>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</si>
  <si>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</si>
  <si>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</si>
  <si>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</si>
  <si>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</si>
  <si>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</si>
  <si>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</si>
  <si>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</si>
  <si>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</si>
  <si>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</si>
  <si>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</si>
  <si>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</si>
  <si>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</si>
  <si>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</si>
  <si>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</si>
  <si>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</si>
  <si>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</si>
  <si>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</si>
  <si>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</si>
  <si>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</si>
  <si>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</si>
  <si>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</si>
  <si>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</si>
  <si>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</si>
  <si>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</si>
  <si>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</si>
  <si>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</si>
  <si>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</si>
  <si>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</si>
  <si>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</si>
  <si>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</si>
  <si>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</si>
  <si>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</si>
  <si>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</si>
  <si>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</si>
  <si>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</si>
  <si>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</si>
  <si>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</si>
  <si>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</si>
  <si>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</si>
  <si>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</si>
  <si>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</si>
  <si>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</si>
  <si>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</si>
  <si>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</si>
  <si>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</si>
  <si>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</si>
  <si>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</si>
  <si>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</si>
  <si>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</si>
  <si>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</si>
  <si>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</si>
  <si>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</si>
  <si>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</si>
  <si>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</si>
  <si>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</si>
  <si>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</si>
  <si>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</si>
  <si>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</si>
  <si>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</si>
  <si>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</si>
  <si>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</si>
  <si>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</si>
  <si>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</si>
  <si>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</si>
  <si>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</si>
  <si>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</si>
  <si>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</si>
  <si>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</si>
  <si>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</si>
  <si>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</si>
  <si>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</si>
  <si>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</si>
  <si>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</si>
  <si>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</si>
  <si>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</si>
  <si>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</si>
  <si>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</si>
  <si>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</si>
  <si>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</si>
  <si>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</si>
  <si>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</si>
  <si>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</si>
  <si>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</si>
  <si>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</si>
  <si>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</si>
  <si>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</si>
  <si>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</si>
  <si>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</si>
  <si>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</si>
  <si>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</si>
  <si>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</si>
  <si>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</si>
  <si>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</si>
  <si>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</si>
  <si>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</si>
  <si>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</si>
  <si>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</si>
  <si>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</si>
  <si>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</si>
  <si>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</si>
  <si>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</si>
  <si>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</si>
  <si>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</si>
  <si>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</si>
  <si>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</si>
  <si>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</si>
  <si>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</si>
  <si>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</si>
  <si>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</si>
  <si>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</si>
  <si>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</si>
  <si>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</si>
  <si>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</si>
  <si>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</si>
  <si>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</si>
  <si>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</si>
  <si>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</si>
  <si>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</si>
  <si>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</si>
  <si>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</si>
  <si>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</si>
  <si>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</si>
  <si>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</si>
  <si>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</si>
  <si>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</si>
  <si>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</si>
  <si>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</si>
  <si>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</si>
  <si>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</si>
  <si>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</si>
  <si>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</si>
  <si>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</si>
  <si>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</si>
  <si>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</si>
  <si>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</si>
  <si>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</si>
  <si>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</si>
  <si>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</si>
  <si>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</si>
  <si>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</si>
  <si>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</si>
  <si>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</si>
  <si>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</si>
  <si>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</si>
  <si>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</si>
  <si>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</si>
  <si>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</si>
  <si>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</si>
  <si>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</si>
  <si>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</si>
  <si>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</si>
  <si>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</si>
  <si>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</si>
  <si>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</si>
  <si>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</si>
  <si>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</si>
  <si>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</si>
  <si>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</si>
  <si>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</si>
  <si>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</si>
  <si>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</si>
  <si>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</si>
  <si>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</si>
  <si>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</si>
  <si>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</si>
  <si>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</si>
  <si>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</si>
  <si>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</si>
  <si>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</si>
  <si>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</si>
  <si>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</si>
  <si>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</si>
  <si>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</si>
  <si>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</si>
  <si>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</si>
  <si>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</si>
  <si>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</si>
  <si>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</si>
  <si>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</si>
  <si>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</si>
  <si>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</si>
  <si>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</si>
  <si>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</si>
  <si>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</si>
  <si>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</si>
  <si>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</si>
  <si>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</si>
  <si>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</si>
  <si>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</si>
  <si>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</si>
  <si>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</si>
  <si>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</si>
  <si>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</si>
  <si>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</si>
  <si>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</si>
  <si>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</si>
  <si>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</si>
  <si>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</si>
  <si>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</si>
  <si>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</si>
  <si>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</si>
  <si>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</si>
  <si>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</si>
  <si>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</si>
  <si>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</si>
  <si>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</si>
  <si>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</si>
  <si>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</si>
  <si>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</si>
  <si>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</si>
  <si>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</si>
  <si>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</si>
  <si>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</si>
  <si>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</si>
  <si>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</si>
  <si>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</si>
  <si>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</si>
  <si>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</si>
  <si>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</si>
  <si>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</si>
  <si>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</si>
  <si>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</si>
  <si>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</si>
  <si>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</si>
  <si>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</si>
  <si>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</si>
  <si>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</si>
  <si>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</si>
  <si>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</si>
  <si>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</si>
  <si>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</si>
  <si>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</si>
  <si>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</si>
  <si>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</si>
  <si>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</si>
  <si>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</si>
  <si>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</si>
  <si>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</si>
  <si>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</si>
  <si>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</si>
  <si>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</si>
  <si>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</si>
  <si>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</si>
  <si>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</si>
  <si>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</si>
  <si>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</si>
  <si>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</si>
  <si>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</si>
  <si>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</si>
  <si>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</si>
  <si>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</si>
  <si>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</si>
  <si>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</si>
  <si>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</si>
  <si>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</si>
  <si>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</si>
  <si>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</si>
  <si>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</si>
  <si>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</si>
  <si>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</si>
  <si>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</si>
  <si>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</si>
  <si>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</si>
  <si>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</si>
  <si>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</si>
  <si>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</si>
  <si>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</si>
  <si>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</si>
  <si>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</si>
  <si>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</si>
  <si>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</si>
  <si>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</si>
  <si>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</si>
  <si>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</si>
  <si>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</si>
  <si>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</si>
  <si>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</si>
  <si>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</si>
  <si>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</si>
  <si>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</si>
  <si>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</si>
  <si>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</si>
  <si>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</si>
  <si>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</si>
  <si>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</si>
  <si>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</si>
  <si>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</si>
  <si>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</si>
  <si>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</si>
  <si>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</si>
  <si>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</si>
  <si>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</si>
  <si>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</si>
  <si>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</si>
  <si>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</si>
  <si>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</si>
  <si>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</si>
  <si>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</si>
  <si>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</si>
  <si>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</si>
  <si>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</si>
  <si>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</si>
  <si>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</si>
  <si>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</si>
  <si>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</si>
  <si>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</si>
  <si>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</si>
  <si>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</si>
  <si>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</si>
  <si>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</si>
  <si>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</si>
  <si>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</si>
  <si>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</si>
  <si>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</si>
  <si>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</si>
  <si>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</si>
  <si>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</si>
  <si>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</si>
  <si>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</si>
  <si>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</si>
  <si>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</si>
  <si>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</si>
  <si>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</si>
  <si>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</si>
  <si>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</si>
  <si>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</si>
  <si>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</si>
  <si>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</si>
  <si>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</si>
  <si>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</si>
  <si>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</si>
  <si>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</si>
  <si>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</si>
  <si>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</si>
  <si>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</si>
  <si>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</si>
  <si>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</si>
  <si>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</si>
  <si>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</si>
  <si>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</si>
  <si>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</si>
  <si>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</si>
  <si>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</si>
  <si>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</si>
  <si>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</si>
  <si>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</si>
  <si>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</si>
  <si>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</si>
  <si>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</si>
  <si>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</si>
  <si>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</si>
  <si>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</si>
  <si>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</si>
  <si>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</si>
  <si>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</si>
  <si>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</si>
  <si>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</si>
  <si>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</si>
  <si>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</si>
  <si>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</si>
  <si>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</si>
  <si>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</si>
  <si>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</si>
  <si>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</si>
  <si>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</si>
  <si>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</si>
  <si>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</si>
  <si>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</si>
  <si>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</si>
  <si>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</si>
  <si>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</si>
  <si>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</si>
  <si>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</si>
  <si>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</si>
  <si>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</si>
  <si>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</si>
  <si>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</si>
  <si>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</si>
  <si>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</si>
  <si>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</si>
  <si>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</si>
  <si>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</si>
  <si>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</si>
  <si>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</si>
  <si>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</si>
  <si>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</si>
  <si>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</si>
  <si>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</si>
  <si>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</si>
  <si>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</si>
  <si>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</si>
  <si>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</si>
  <si>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</si>
  <si>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</si>
  <si>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</si>
  <si>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</si>
  <si>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</si>
  <si>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</si>
  <si>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</si>
  <si>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</si>
  <si>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</si>
  <si>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</si>
  <si>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</si>
  <si>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</si>
  <si>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</si>
  <si>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</si>
  <si>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</si>
  <si>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</si>
  <si>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</si>
  <si>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</si>
  <si>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</si>
  <si>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</si>
  <si>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</si>
  <si>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</si>
  <si>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</si>
  <si>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</si>
  <si>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</si>
  <si>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</si>
  <si>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</si>
  <si>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</si>
  <si>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</si>
  <si>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</si>
  <si>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</si>
  <si>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</si>
  <si>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</si>
  <si>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</si>
  <si>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</si>
  <si>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</si>
  <si>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</si>
  <si>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</si>
  <si>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</si>
  <si>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</si>
  <si>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</si>
  <si>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</si>
  <si>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</si>
  <si>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</si>
  <si>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</si>
  <si>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</si>
  <si>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</si>
  <si>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</si>
  <si>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</si>
  <si>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</si>
  <si>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</si>
  <si>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</si>
  <si>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</si>
  <si>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</si>
  <si>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</si>
  <si>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</si>
  <si>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</si>
  <si>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</si>
  <si>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</si>
  <si>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</si>
  <si>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</si>
  <si>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</si>
  <si>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</si>
  <si>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</si>
  <si>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</si>
  <si>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</si>
  <si>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</si>
  <si>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</si>
  <si>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</si>
  <si>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</si>
  <si>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</si>
  <si>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</si>
  <si>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</si>
  <si>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</si>
  <si>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</si>
  <si>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</si>
  <si>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</si>
  <si>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</si>
  <si>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</si>
  <si>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</si>
  <si>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</si>
  <si>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</si>
  <si>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</si>
  <si>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</si>
  <si>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</si>
  <si>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</si>
  <si>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</si>
  <si>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</si>
  <si>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</si>
  <si>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</si>
  <si>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</si>
  <si>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</si>
  <si>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</si>
  <si>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</si>
  <si>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</si>
  <si>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</si>
  <si>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</si>
  <si>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</si>
  <si>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</si>
  <si>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</si>
  <si>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</si>
  <si>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</si>
  <si>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</si>
  <si>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</si>
  <si>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</si>
  <si>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</si>
  <si>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</si>
  <si>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</si>
  <si>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</si>
  <si>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</si>
  <si>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</si>
  <si>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</si>
  <si>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</si>
  <si>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</si>
  <si>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</si>
  <si>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</si>
  <si>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</si>
  <si>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</si>
  <si>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</si>
  <si>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</si>
  <si>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</si>
  <si>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</si>
  <si>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</si>
  <si>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</si>
  <si>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</si>
  <si>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</si>
  <si>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</si>
  <si>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</si>
  <si>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</si>
  <si>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</si>
  <si>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</si>
  <si>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</si>
  <si>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</si>
  <si>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</si>
  <si>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</si>
  <si>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</si>
  <si>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</si>
  <si>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</si>
  <si>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</si>
  <si>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</si>
  <si>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</si>
  <si>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</si>
  <si>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</si>
  <si>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</si>
  <si>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</si>
  <si>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</si>
  <si>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</si>
  <si>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</si>
  <si>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</si>
  <si>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</si>
  <si>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</si>
  <si>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</si>
  <si>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</si>
  <si>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</si>
  <si>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</si>
  <si>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</si>
  <si>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</si>
  <si>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</si>
  <si>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</si>
  <si>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</si>
  <si>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</si>
  <si>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</si>
  <si>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</si>
  <si>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</si>
  <si>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</si>
  <si>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</si>
  <si>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</si>
  <si>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</si>
  <si>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</si>
  <si>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</si>
  <si>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</si>
  <si>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</si>
  <si>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</si>
  <si>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</si>
  <si>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</si>
  <si>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</si>
  <si>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</si>
  <si>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</si>
  <si>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</si>
  <si>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</si>
  <si>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</si>
  <si>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</si>
  <si>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</si>
  <si>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</si>
  <si>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</si>
  <si>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</si>
  <si>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</si>
  <si>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</si>
  <si>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</si>
  <si>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</si>
  <si>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</si>
  <si>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</si>
  <si>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</si>
  <si>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</si>
  <si>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</si>
  <si>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</si>
  <si>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</si>
  <si>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</si>
  <si>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</si>
  <si>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</si>
  <si>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</si>
  <si>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</si>
  <si>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</si>
  <si>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</si>
  <si>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</si>
  <si>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</si>
  <si>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</si>
  <si>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</si>
  <si>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</si>
  <si>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</si>
  <si>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</si>
  <si>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</si>
  <si>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</si>
  <si>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</si>
  <si>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</si>
  <si>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</si>
  <si>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</si>
  <si>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</si>
  <si>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</si>
  <si>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</si>
  <si>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</si>
  <si>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</si>
  <si>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</si>
  <si>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</si>
  <si>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</si>
  <si>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</si>
  <si>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</si>
  <si>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</si>
  <si>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</si>
  <si>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</si>
  <si>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</si>
  <si>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</si>
  <si>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</si>
  <si>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</si>
  <si>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</si>
  <si>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</si>
  <si>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</si>
  <si>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</si>
  <si>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</si>
  <si>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</si>
  <si>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</si>
  <si>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</si>
  <si>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</si>
  <si>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</si>
  <si>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</si>
  <si>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</si>
  <si>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</si>
  <si>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</si>
  <si>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</si>
  <si>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</si>
  <si>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</si>
  <si>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</si>
  <si>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</si>
  <si>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</si>
  <si>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</si>
  <si>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</si>
  <si>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</si>
  <si>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</si>
  <si>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</si>
  <si>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</si>
  <si>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</si>
  <si>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</si>
  <si>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</si>
  <si>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</si>
  <si>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</si>
  <si>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</si>
  <si>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</si>
  <si>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</si>
  <si>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</si>
  <si>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</si>
  <si>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</si>
  <si>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</si>
  <si>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</si>
  <si>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</si>
  <si>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</si>
  <si>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</si>
  <si>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</si>
  <si>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</si>
  <si>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</si>
  <si>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</si>
  <si>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</si>
  <si>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</si>
  <si>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</si>
  <si>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</si>
  <si>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</si>
  <si>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</si>
  <si>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</si>
  <si>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</si>
  <si>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</si>
  <si>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</si>
  <si>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</si>
  <si>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</si>
  <si>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</si>
  <si>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</si>
  <si>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</si>
  <si>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</si>
  <si>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</si>
  <si>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</si>
  <si>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</si>
  <si>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</si>
  <si>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</si>
  <si>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</si>
  <si>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</si>
  <si>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</si>
  <si>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</si>
  <si>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</si>
  <si>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</si>
  <si>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</si>
  <si>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</si>
  <si>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</si>
  <si>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</si>
  <si>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</si>
  <si>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</si>
  <si>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</si>
  <si>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</si>
  <si>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</si>
  <si>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</si>
  <si>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</si>
  <si>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</si>
  <si>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</si>
  <si>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</si>
  <si>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</si>
  <si>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</si>
  <si>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</si>
  <si>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</si>
  <si>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</si>
  <si>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</si>
  <si>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</si>
  <si>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</si>
  <si>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</si>
  <si>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</si>
  <si>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</si>
  <si>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</si>
  <si>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</si>
  <si>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</si>
  <si>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</si>
  <si>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</si>
  <si>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</si>
  <si>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</si>
  <si>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</si>
  <si>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</si>
  <si>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</si>
  <si>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</si>
  <si>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</si>
  <si>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</si>
  <si>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</si>
  <si>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</si>
  <si>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</si>
  <si>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</si>
  <si>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</si>
  <si>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</si>
  <si>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</si>
  <si>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</si>
  <si>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</si>
  <si>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</si>
  <si>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</si>
  <si>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</si>
  <si>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</si>
  <si>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</si>
  <si>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</si>
  <si>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</si>
  <si>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</si>
  <si>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</si>
  <si>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</si>
  <si>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</si>
  <si>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</si>
  <si>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</si>
  <si>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</si>
  <si>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</si>
  <si>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</si>
  <si>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</si>
  <si>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</si>
  <si>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</si>
  <si>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</si>
  <si>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</si>
  <si>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</si>
  <si>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</si>
  <si>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</si>
  <si>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</si>
  <si>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</si>
  <si>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</si>
  <si>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</si>
  <si>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</si>
  <si>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</si>
  <si>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</si>
  <si>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</si>
  <si>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</si>
  <si>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</si>
  <si>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</si>
  <si>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</si>
  <si>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</si>
  <si>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</si>
  <si>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</si>
  <si>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</si>
  <si>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</si>
  <si>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</si>
  <si>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</si>
  <si>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</si>
  <si>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</si>
  <si>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</si>
  <si>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</si>
  <si>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</si>
  <si>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</si>
  <si>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</si>
  <si>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</si>
  <si>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</si>
  <si>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</si>
  <si>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</si>
  <si>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</si>
  <si>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</si>
  <si>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</si>
  <si>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</si>
  <si>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</si>
  <si>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</si>
  <si>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</si>
  <si>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</si>
  <si>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</si>
  <si>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</si>
  <si>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</si>
  <si>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</si>
  <si>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</si>
  <si>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</si>
  <si>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</si>
  <si>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</si>
  <si>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</si>
  <si>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</si>
  <si>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</si>
  <si>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</si>
  <si>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</si>
  <si>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</si>
  <si>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</si>
  <si>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</si>
  <si>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</si>
  <si>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</si>
  <si>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</si>
  <si>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</si>
  <si>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</si>
  <si>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</si>
  <si>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</si>
  <si>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</si>
  <si>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</si>
  <si>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</si>
  <si>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</si>
  <si>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</si>
  <si>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</si>
  <si>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</si>
  <si>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</si>
  <si>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</si>
  <si>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</si>
  <si>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</si>
  <si>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</si>
  <si>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</si>
  <si>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</si>
  <si>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</si>
  <si>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</si>
  <si>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</si>
  <si>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</si>
  <si>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</si>
  <si>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</si>
  <si>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</si>
  <si>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</si>
  <si>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</si>
  <si>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</si>
  <si>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</si>
  <si>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</si>
  <si>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</si>
  <si>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</si>
  <si>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</si>
  <si>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</si>
  <si>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</si>
  <si>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</si>
  <si>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</si>
  <si>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</si>
  <si>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</si>
  <si>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</si>
  <si>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</si>
  <si>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</si>
  <si>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</si>
  <si>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</si>
  <si>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</si>
  <si>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</si>
  <si>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</si>
  <si>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</si>
  <si>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</si>
  <si>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</si>
  <si>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</si>
  <si>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</si>
  <si>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</si>
  <si>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</si>
  <si>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</si>
  <si>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</si>
  <si>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</si>
  <si>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</si>
  <si>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</si>
  <si>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</si>
  <si>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</si>
  <si>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</si>
  <si>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</si>
  <si>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</si>
  <si>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</si>
  <si>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</si>
  <si>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</si>
  <si>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</si>
  <si>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</si>
  <si>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</si>
  <si>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</si>
  <si>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</si>
  <si>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</si>
  <si>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</si>
  <si>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</si>
  <si>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</si>
  <si>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</si>
  <si>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</si>
  <si>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</si>
  <si>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</si>
  <si>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</si>
  <si>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</si>
  <si>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</si>
  <si>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</si>
  <si>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</si>
  <si>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</si>
  <si>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</si>
  <si>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</si>
  <si>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</si>
  <si>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</si>
  <si>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</si>
  <si>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</si>
  <si>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</si>
  <si>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</si>
  <si>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</si>
  <si>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</si>
  <si>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</si>
  <si>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</si>
  <si>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</si>
  <si>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</si>
  <si>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</si>
  <si>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</si>
  <si>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</si>
  <si>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</si>
  <si>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</si>
  <si>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</si>
  <si>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</si>
  <si>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</si>
  <si>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</si>
  <si>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</si>
  <si>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</si>
  <si>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</si>
  <si>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</si>
  <si>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</si>
  <si>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</si>
  <si>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</si>
  <si>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</si>
  <si>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</si>
  <si>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</si>
  <si>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</si>
  <si>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</si>
  <si>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</si>
  <si>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</si>
  <si>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</si>
  <si>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</si>
  <si>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</si>
  <si>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</si>
  <si>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</si>
  <si>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</si>
  <si>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</si>
  <si>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</si>
  <si>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</si>
  <si>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</si>
  <si>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</si>
  <si>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</si>
  <si>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</si>
  <si>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</si>
  <si>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</si>
  <si>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</si>
  <si>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</si>
  <si>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</si>
  <si>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</si>
  <si>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</si>
  <si>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</si>
  <si>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</si>
  <si>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</si>
  <si>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</si>
  <si>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</si>
  <si>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</si>
  <si>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</si>
  <si>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</si>
  <si>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</si>
  <si>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</si>
  <si>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</si>
  <si>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</si>
  <si>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</si>
  <si>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</si>
  <si>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</si>
  <si>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</si>
  <si>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</si>
  <si>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</si>
  <si>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</si>
  <si>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</si>
  <si>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</si>
  <si>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</si>
  <si>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</si>
  <si>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</si>
  <si>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</si>
  <si>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</si>
  <si>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</si>
  <si>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</si>
  <si>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</si>
  <si>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</si>
  <si>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</si>
  <si>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</si>
  <si>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</si>
  <si>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</si>
  <si>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</si>
  <si>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</si>
  <si>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</si>
  <si>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</si>
  <si>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</si>
  <si>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</si>
  <si>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</si>
  <si>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</si>
  <si>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</si>
  <si>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</si>
  <si>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</si>
  <si>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</si>
  <si>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</si>
  <si>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</si>
  <si>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</si>
  <si>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</si>
  <si>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</si>
  <si>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</si>
  <si>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</si>
  <si>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</si>
  <si>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</si>
  <si>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</si>
  <si>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</si>
  <si>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</si>
  <si>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</si>
  <si>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</si>
  <si>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</si>
  <si>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</si>
  <si>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</si>
  <si>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</si>
  <si>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</si>
  <si>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</si>
  <si>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</si>
  <si>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</si>
  <si>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</si>
  <si>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</si>
  <si>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</si>
  <si>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</si>
  <si>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</si>
  <si>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</si>
  <si>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</si>
  <si>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</si>
  <si>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</si>
  <si>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</si>
  <si>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</si>
  <si>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</si>
  <si>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</si>
  <si>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</si>
  <si>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</si>
  <si>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</si>
  <si>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</si>
  <si>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</si>
  <si>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</si>
  <si>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</si>
  <si>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</si>
  <si>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</si>
  <si>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</si>
  <si>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</si>
  <si>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</si>
  <si>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</si>
  <si>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</si>
  <si>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</si>
  <si>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</si>
  <si>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</si>
  <si>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</si>
  <si>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</si>
  <si>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</si>
  <si>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</si>
  <si>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</si>
  <si>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</si>
  <si>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</si>
  <si>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</si>
  <si>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</si>
  <si>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</si>
  <si>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</si>
  <si>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</si>
  <si>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</si>
  <si>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</si>
  <si>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</si>
  <si>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</si>
  <si>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</si>
  <si>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</si>
  <si>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</si>
  <si>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</si>
  <si>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</si>
  <si>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</si>
  <si>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</si>
  <si>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</si>
  <si>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</si>
  <si>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</si>
  <si>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</si>
  <si>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</si>
  <si>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</si>
  <si>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</si>
  <si>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</si>
  <si>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</si>
  <si>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</si>
  <si>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</si>
  <si>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</si>
  <si>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</si>
  <si>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</si>
  <si>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</si>
  <si>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</si>
  <si>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</si>
  <si>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</si>
  <si>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</si>
  <si>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</si>
  <si>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</si>
  <si>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</si>
  <si>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</si>
  <si>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</si>
  <si>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</si>
  <si>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</si>
  <si>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</si>
  <si>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</si>
  <si>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</si>
  <si>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</si>
  <si>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</si>
  <si>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</si>
  <si>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</si>
  <si>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</si>
  <si>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</si>
  <si>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</si>
  <si>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</si>
  <si>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</si>
  <si>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</si>
  <si>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</si>
  <si>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</si>
  <si>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</si>
  <si>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</si>
  <si>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</si>
  <si>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</si>
  <si>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</si>
  <si>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</si>
  <si>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</si>
  <si>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</si>
  <si>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</si>
  <si>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</si>
  <si>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</si>
  <si>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</si>
  <si>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</si>
  <si>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</si>
  <si>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</si>
  <si>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</si>
  <si>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</si>
  <si>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</si>
  <si>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</si>
  <si>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</si>
  <si>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</si>
  <si>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</si>
  <si>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</si>
  <si>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</si>
  <si>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</si>
  <si>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</si>
  <si>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</si>
  <si>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</si>
  <si>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</si>
  <si>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</si>
  <si>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</si>
  <si>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</si>
  <si>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</si>
  <si>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</si>
  <si>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</si>
  <si>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</si>
  <si>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</si>
  <si>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</si>
  <si>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</si>
  <si>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</si>
  <si>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</si>
  <si>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</si>
  <si>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</si>
  <si>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</si>
  <si>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</si>
  <si>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</si>
  <si>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</si>
  <si>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</si>
  <si>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</si>
  <si>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</si>
  <si>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</si>
  <si>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</si>
  <si>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</si>
  <si>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</si>
  <si>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</si>
  <si>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</si>
  <si>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</si>
  <si>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</si>
  <si>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</si>
  <si>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</si>
  <si>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</si>
  <si>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</si>
  <si>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</si>
  <si>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</si>
  <si>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</si>
  <si>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</si>
  <si>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</si>
  <si>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</si>
  <si>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</si>
  <si>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</si>
  <si>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</si>
  <si>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</si>
  <si>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</si>
  <si>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</si>
  <si>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</si>
  <si>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</si>
  <si>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</si>
  <si>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</si>
  <si>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</si>
  <si>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</si>
  <si>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</si>
  <si>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</si>
  <si>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</si>
  <si>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</si>
  <si>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</si>
  <si>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</si>
  <si>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</si>
  <si>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</si>
  <si>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</si>
  <si>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</si>
  <si>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</si>
  <si>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</si>
  <si>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</si>
  <si>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</si>
  <si>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</si>
  <si>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</si>
  <si>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</si>
  <si>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</si>
  <si>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</si>
  <si>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</si>
  <si>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</si>
  <si>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</si>
  <si>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</si>
  <si>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</si>
  <si>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</si>
  <si>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</si>
  <si>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</si>
  <si>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</si>
  <si>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</si>
  <si>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</si>
  <si>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</si>
  <si>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</si>
  <si>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</si>
  <si>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</si>
  <si>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</si>
  <si>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</si>
  <si>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</si>
  <si>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</si>
  <si>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</si>
  <si>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</si>
  <si>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</si>
  <si>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</si>
  <si>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</si>
  <si>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</si>
  <si>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</si>
  <si>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</si>
  <si>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</si>
  <si>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</si>
  <si>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</si>
  <si>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</si>
  <si>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</si>
  <si>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</si>
  <si>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</si>
  <si>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</si>
  <si>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</si>
  <si>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</si>
  <si>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</si>
  <si>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</si>
  <si>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</si>
  <si>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</si>
  <si>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</si>
  <si>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</si>
  <si>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</si>
  <si>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</si>
  <si>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</si>
  <si>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</si>
  <si>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</si>
  <si>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</si>
  <si>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</si>
  <si>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</si>
  <si>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</si>
  <si>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</si>
  <si>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</si>
  <si>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</si>
  <si>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</si>
  <si>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</si>
  <si>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</si>
  <si>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</si>
  <si>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</si>
  <si>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</si>
  <si>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</si>
  <si>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</si>
  <si>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</si>
  <si>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</si>
  <si>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</si>
  <si>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</si>
  <si>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</si>
  <si>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</si>
  <si>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</si>
  <si>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</si>
  <si>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</si>
  <si>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</si>
  <si>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</si>
  <si>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</si>
  <si>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</si>
  <si>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</si>
  <si>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</si>
  <si>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</si>
  <si>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</si>
  <si>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</si>
  <si>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</si>
  <si>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</si>
  <si>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</si>
  <si>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</si>
  <si>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</si>
  <si>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</si>
  <si>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</si>
  <si>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</si>
  <si>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</si>
  <si>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</si>
  <si>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</si>
  <si>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</si>
  <si>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</si>
  <si>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</si>
  <si>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</si>
  <si>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</si>
  <si>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</si>
  <si>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</si>
  <si>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</si>
  <si>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</si>
  <si>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</si>
  <si>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</si>
  <si>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</si>
  <si>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</si>
  <si>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</si>
  <si>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</si>
  <si>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</si>
  <si>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</si>
  <si>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</si>
  <si>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</si>
  <si>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</si>
  <si>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</si>
  <si>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</si>
  <si>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</si>
  <si>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</si>
  <si>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</si>
  <si>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</si>
  <si>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</si>
  <si>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</si>
  <si>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</si>
  <si>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</si>
  <si>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</si>
  <si>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</si>
  <si>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</si>
  <si>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</si>
  <si>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</si>
  <si>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</si>
  <si>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</si>
  <si>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</si>
  <si>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</si>
  <si>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</si>
  <si>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</si>
  <si>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</si>
  <si>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</si>
  <si>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</si>
  <si>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</si>
  <si>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</si>
  <si>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</si>
  <si>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</si>
  <si>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</si>
  <si>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</si>
  <si>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</si>
  <si>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</si>
  <si>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</si>
  <si>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</si>
  <si>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</si>
  <si>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</si>
  <si>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</si>
  <si>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</si>
  <si>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</si>
  <si>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</si>
  <si>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</si>
  <si>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</si>
  <si>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</si>
  <si>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</si>
  <si>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</si>
  <si>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</si>
  <si>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</si>
  <si>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</si>
  <si>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</si>
  <si>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</si>
  <si>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</si>
  <si>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</si>
  <si>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</si>
  <si>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</si>
  <si>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</si>
  <si>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</si>
  <si>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</si>
  <si>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</si>
  <si>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</si>
  <si>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</si>
  <si>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</si>
  <si>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</si>
  <si>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</si>
  <si>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</si>
  <si>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</si>
  <si>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</si>
  <si>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</si>
  <si>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</si>
  <si>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</si>
  <si>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</si>
  <si>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</si>
  <si>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</si>
  <si>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</si>
  <si>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</si>
  <si>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</si>
  <si>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</si>
  <si>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</si>
  <si>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</si>
  <si>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</si>
  <si>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</si>
  <si>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</si>
  <si>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</si>
  <si>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</si>
  <si>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</si>
  <si>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</si>
  <si>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</si>
  <si>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</si>
  <si>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</si>
  <si>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</si>
  <si>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</si>
  <si>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</si>
  <si>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</si>
  <si>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</si>
  <si>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</si>
  <si>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</si>
  <si>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</si>
  <si>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</si>
  <si>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</si>
  <si>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</si>
  <si>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</si>
  <si>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</si>
  <si>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</si>
  <si>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</si>
  <si>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</si>
  <si>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</si>
  <si>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</si>
  <si>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</si>
  <si>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</si>
  <si>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</si>
  <si>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</si>
  <si>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</si>
  <si>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</si>
  <si>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</si>
  <si>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</si>
  <si>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</si>
  <si>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</si>
  <si>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</si>
  <si>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</si>
  <si>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</si>
  <si>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</si>
  <si>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</si>
  <si>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</si>
  <si>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</si>
  <si>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</si>
  <si>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</si>
  <si>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</si>
  <si>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</si>
  <si>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</si>
  <si>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</si>
  <si>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</si>
  <si>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</si>
  <si>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</si>
  <si>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</si>
  <si>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</si>
  <si>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</si>
  <si>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</si>
  <si>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</si>
  <si>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</si>
  <si>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</si>
  <si>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</si>
  <si>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</si>
  <si>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</si>
  <si>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</si>
  <si>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</si>
  <si>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</si>
  <si>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</si>
  <si>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</si>
  <si>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</si>
  <si>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</si>
  <si>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</si>
  <si>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</si>
  <si>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</si>
  <si>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</si>
  <si>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</si>
  <si>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</si>
  <si>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</si>
  <si>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</si>
  <si>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</si>
  <si>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</si>
  <si>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</si>
  <si>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</si>
  <si>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</si>
  <si>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</si>
  <si>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</si>
  <si>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</si>
  <si>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</si>
  <si>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</si>
  <si>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</si>
  <si>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</si>
  <si>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</si>
  <si>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</si>
  <si>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</si>
  <si>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</si>
  <si>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</si>
  <si>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</si>
  <si>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</si>
  <si>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</si>
  <si>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</si>
  <si>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</si>
  <si>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</si>
  <si>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</si>
  <si>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</si>
  <si>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</si>
  <si>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</si>
  <si>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</si>
  <si>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</si>
  <si>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</si>
  <si>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</si>
  <si>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</si>
  <si>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</si>
  <si>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</si>
  <si>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</si>
  <si>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</si>
  <si>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</si>
  <si>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</si>
  <si>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</si>
  <si>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</si>
  <si>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</si>
  <si>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</si>
  <si>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</si>
  <si>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</si>
  <si>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</si>
  <si>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</si>
  <si>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</si>
  <si>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</si>
  <si>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</si>
  <si>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</si>
  <si>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</si>
  <si>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</si>
  <si>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</si>
  <si>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</si>
  <si>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</si>
  <si>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</si>
  <si>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</si>
  <si>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</si>
  <si>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</si>
  <si>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</si>
  <si>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</si>
  <si>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</si>
  <si>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</si>
  <si>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</si>
  <si>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</si>
  <si>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</si>
  <si>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</si>
  <si>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</si>
  <si>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</si>
  <si>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</si>
  <si>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</si>
  <si>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</si>
  <si>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</si>
  <si>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</si>
  <si>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</si>
  <si>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</si>
  <si>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</si>
  <si>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</si>
  <si>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</si>
  <si>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</si>
  <si>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</si>
  <si>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</si>
  <si>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</si>
  <si>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</si>
  <si>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</si>
  <si>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</si>
  <si>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</si>
  <si>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</si>
  <si>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</si>
  <si>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</si>
  <si>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</si>
  <si>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</si>
  <si>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</si>
  <si>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</si>
  <si>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</si>
  <si>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</si>
  <si>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</si>
  <si>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</si>
  <si>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</si>
  <si>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</si>
  <si>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</si>
  <si>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</si>
  <si>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</si>
  <si>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</si>
  <si>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</si>
  <si>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</si>
  <si>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</si>
  <si>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</si>
  <si>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</si>
  <si>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</si>
  <si>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</si>
  <si>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</si>
  <si>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</si>
  <si>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</si>
  <si>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</si>
  <si>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</si>
  <si>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</si>
  <si>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</si>
  <si>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</si>
  <si>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</si>
  <si>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</si>
  <si>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</si>
  <si>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</si>
  <si>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</si>
  <si>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</si>
  <si>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</si>
  <si>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</si>
  <si>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</si>
  <si>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</si>
  <si>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</si>
  <si>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</si>
  <si>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</si>
  <si>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</si>
  <si>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</si>
  <si>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</si>
  <si>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</si>
  <si>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</si>
  <si>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</si>
  <si>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</si>
  <si>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</si>
  <si>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</si>
  <si>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</si>
  <si>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</si>
  <si>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</si>
  <si>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</si>
  <si>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</si>
  <si>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</si>
  <si>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</si>
  <si>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</si>
  <si>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</si>
  <si>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</si>
  <si>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</si>
  <si>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</si>
  <si>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</si>
  <si>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</si>
  <si>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</si>
  <si>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</si>
  <si>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</si>
  <si>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</si>
  <si>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</si>
  <si>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</si>
  <si>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</si>
  <si>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</si>
  <si>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</si>
  <si>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</si>
  <si>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</si>
  <si>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</si>
  <si>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</si>
  <si>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</si>
  <si>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</si>
  <si>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</si>
  <si>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</si>
  <si>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</si>
  <si>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</si>
  <si>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</si>
  <si>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</si>
  <si>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</si>
  <si>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</si>
  <si>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</si>
  <si>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</si>
  <si>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</si>
  <si>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</si>
  <si>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</si>
  <si>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</si>
  <si>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</si>
  <si>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</si>
  <si>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</si>
  <si>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</si>
  <si>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</si>
  <si>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</si>
  <si>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</si>
  <si>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</si>
  <si>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</si>
  <si>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</si>
  <si>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</si>
  <si>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</si>
  <si>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</si>
  <si>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</si>
  <si>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</si>
  <si>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</si>
  <si>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</si>
  <si>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</si>
  <si>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</si>
  <si>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</si>
  <si>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</si>
  <si>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</si>
  <si>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</si>
  <si>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</si>
  <si>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</si>
  <si>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</si>
  <si>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</si>
  <si>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</si>
  <si>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</si>
  <si>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</si>
  <si>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</si>
  <si>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</si>
  <si>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</si>
  <si>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</si>
  <si>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</si>
  <si>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</si>
  <si>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</si>
  <si>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</si>
  <si>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</si>
  <si>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</si>
  <si>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</si>
  <si>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</si>
  <si>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</si>
  <si>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</si>
  <si>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</si>
  <si>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</si>
  <si>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</si>
  <si>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</si>
  <si>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</si>
  <si>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</si>
  <si>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</si>
  <si>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</si>
  <si>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</si>
  <si>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</si>
  <si>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</si>
  <si>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</si>
  <si>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</si>
  <si>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</si>
  <si>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</si>
  <si>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</si>
  <si>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</si>
  <si>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</si>
  <si>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</si>
  <si>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</si>
  <si>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</si>
  <si>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</si>
  <si>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</si>
  <si>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</si>
  <si>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</si>
  <si>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</si>
  <si>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</si>
  <si>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</si>
  <si>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</si>
  <si>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</si>
  <si>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</si>
  <si>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</si>
  <si>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</si>
  <si>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</si>
  <si>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</si>
  <si>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</si>
  <si>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</si>
  <si>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</si>
  <si>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</si>
  <si>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</si>
  <si>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</si>
  <si>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</si>
  <si>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</si>
  <si>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</si>
  <si>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</si>
  <si>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</si>
  <si>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</si>
  <si>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</si>
  <si>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</si>
  <si>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</si>
  <si>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</si>
  <si>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</si>
  <si>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</si>
  <si>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</si>
  <si>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</si>
  <si>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</si>
  <si>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</si>
  <si>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</si>
  <si>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</si>
  <si>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</si>
  <si>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</si>
  <si>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</si>
  <si>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</si>
  <si>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</si>
  <si>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</si>
  <si>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</si>
  <si>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</si>
  <si>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</si>
  <si>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</si>
  <si>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</si>
  <si>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</si>
  <si>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</si>
  <si>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</si>
  <si>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</si>
  <si>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</si>
  <si>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</si>
  <si>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</si>
  <si>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</si>
  <si>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</si>
  <si>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</si>
  <si>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</si>
  <si>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</si>
  <si>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</si>
  <si>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</si>
  <si>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</si>
  <si>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</si>
  <si>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</si>
  <si>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</si>
  <si>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</si>
  <si>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</si>
  <si>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</si>
  <si>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</si>
  <si>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</si>
  <si>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</si>
  <si>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</si>
  <si>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</si>
  <si>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</si>
  <si>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</si>
  <si>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</si>
  <si>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</si>
  <si>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</si>
  <si>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</si>
  <si>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</si>
  <si>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</si>
  <si>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</si>
  <si>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</si>
  <si>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</si>
  <si>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</si>
  <si>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</si>
  <si>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</si>
  <si>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</si>
  <si>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</si>
  <si>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</si>
  <si>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</si>
  <si>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</si>
  <si>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</si>
  <si>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</si>
  <si>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</si>
  <si>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</si>
  <si>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</si>
  <si>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</si>
  <si>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</si>
  <si>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</si>
  <si>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</si>
  <si>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</si>
  <si>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</si>
  <si>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</si>
  <si>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</si>
  <si>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</si>
  <si>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</si>
  <si>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</si>
  <si>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</si>
  <si>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</si>
  <si>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</si>
  <si>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</si>
  <si>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</si>
  <si>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</si>
  <si>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</si>
  <si>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</si>
  <si>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</si>
  <si>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</si>
  <si>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</si>
  <si>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</si>
  <si>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</si>
  <si>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</si>
  <si>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</si>
  <si>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</si>
  <si>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</si>
  <si>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</si>
  <si>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</si>
  <si>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</si>
  <si>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</si>
  <si>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</si>
  <si>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</si>
  <si>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</si>
  <si>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</si>
  <si>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</si>
  <si>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</si>
  <si>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</si>
  <si>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</si>
  <si>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</si>
  <si>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</si>
  <si>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</si>
  <si>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</si>
  <si>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</si>
  <si>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</si>
  <si>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</si>
  <si>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</si>
  <si>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</si>
  <si>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</si>
  <si>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</si>
  <si>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</si>
  <si>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</si>
  <si>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</si>
  <si>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</si>
  <si>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</si>
  <si>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</si>
  <si>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</si>
  <si>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</si>
  <si>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</si>
  <si>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</si>
  <si>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</si>
  <si>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</si>
  <si>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</si>
  <si>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</si>
  <si>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</si>
  <si>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</si>
  <si>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</si>
  <si>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</si>
  <si>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</si>
  <si>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</si>
  <si>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</si>
  <si>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</si>
  <si>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</si>
  <si>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</si>
  <si>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</si>
  <si>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</si>
  <si>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</si>
  <si>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</si>
  <si>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</si>
  <si>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</si>
  <si>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</si>
  <si>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</si>
  <si>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</si>
  <si>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</si>
  <si>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</si>
  <si>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</si>
  <si>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</si>
  <si>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</si>
  <si>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</si>
  <si>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</si>
  <si>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</si>
  <si>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</si>
  <si>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</si>
  <si>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</si>
  <si>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</si>
  <si>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</si>
  <si>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</si>
  <si>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</si>
  <si>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</si>
  <si>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</si>
  <si>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</si>
  <si>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</si>
  <si>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</si>
  <si>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</si>
  <si>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</si>
  <si>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</si>
  <si>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</si>
  <si>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</si>
  <si>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</si>
  <si>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</si>
  <si>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</si>
  <si>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</si>
  <si>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</si>
  <si>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</si>
  <si>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</si>
  <si>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</si>
  <si>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</si>
  <si>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</si>
  <si>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</si>
  <si>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</si>
  <si>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</si>
  <si>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</si>
  <si>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</si>
  <si>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</si>
  <si>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</si>
  <si>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</si>
  <si>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</si>
  <si>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</si>
  <si>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</si>
  <si>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</si>
  <si>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</si>
  <si>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</si>
  <si>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</si>
  <si>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</si>
  <si>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</si>
  <si>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</si>
  <si>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</si>
  <si>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</si>
  <si>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</si>
  <si>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</si>
  <si>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</si>
  <si>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</si>
  <si>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</si>
  <si>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</si>
  <si>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</si>
  <si>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</si>
  <si>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</si>
  <si>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</si>
  <si>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</si>
  <si>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</si>
  <si>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</si>
  <si>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</si>
  <si>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</si>
  <si>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</si>
  <si>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</si>
  <si>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</si>
  <si>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</si>
  <si>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</si>
  <si>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</si>
  <si>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</si>
  <si>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</si>
  <si>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</si>
  <si>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</si>
  <si>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</si>
  <si>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</si>
  <si>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</si>
  <si>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</si>
  <si>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</si>
  <si>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</si>
  <si>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</si>
  <si>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</si>
  <si>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</si>
  <si>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</si>
  <si>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</si>
  <si>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</si>
  <si>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</si>
  <si>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</si>
  <si>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</si>
  <si>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</si>
  <si>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</si>
  <si>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</si>
  <si>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</si>
  <si>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</si>
  <si>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</si>
  <si>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</si>
  <si>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</si>
  <si>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</si>
  <si>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</si>
  <si>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</si>
  <si>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</si>
  <si>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</si>
  <si>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</si>
  <si>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</si>
  <si>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</si>
  <si>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</si>
  <si>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</si>
  <si>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</si>
  <si>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</si>
  <si>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</si>
  <si>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</si>
  <si>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</si>
  <si>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</si>
  <si>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</si>
  <si>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</si>
  <si>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</si>
  <si>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</si>
  <si>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</si>
  <si>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</si>
  <si>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</si>
  <si>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</si>
  <si>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</si>
  <si>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</si>
  <si>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</si>
  <si>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</si>
  <si>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</si>
  <si>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</si>
  <si>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</si>
  <si>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</si>
  <si>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</si>
  <si>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</si>
  <si>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</si>
  <si>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</si>
  <si>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</si>
  <si>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</si>
  <si>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</si>
  <si>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</si>
  <si>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</si>
  <si>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</si>
  <si>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</si>
  <si>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</si>
  <si>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</si>
  <si>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</si>
  <si>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</si>
  <si>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</si>
  <si>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</si>
  <si>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</si>
  <si>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</si>
  <si>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</si>
  <si>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</si>
  <si>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</si>
  <si>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</si>
  <si>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</si>
  <si>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</si>
  <si>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</si>
  <si>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</si>
  <si>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</si>
  <si>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</si>
  <si>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</si>
  <si>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</si>
  <si>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</si>
  <si>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</si>
  <si>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</si>
  <si>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</si>
  <si>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</si>
  <si>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</si>
  <si>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</si>
  <si>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</si>
  <si>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</si>
  <si>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</si>
  <si>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</si>
  <si>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</si>
  <si>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</si>
  <si>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</si>
  <si>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</si>
  <si>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</si>
  <si>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</si>
  <si>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</si>
  <si>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</si>
  <si>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</si>
  <si>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</si>
  <si>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</si>
  <si>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</si>
  <si>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</si>
  <si>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</si>
  <si>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</si>
  <si>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</si>
  <si>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</si>
  <si>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</si>
  <si>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</si>
  <si>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</si>
  <si>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</si>
  <si>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</si>
  <si>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</si>
  <si>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</si>
  <si>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</si>
  <si>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</si>
  <si>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</si>
  <si>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</si>
  <si>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</si>
  <si>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</si>
  <si>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</si>
  <si>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</si>
  <si>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</si>
  <si>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</si>
  <si>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</si>
  <si>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</si>
  <si>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</si>
  <si>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</si>
  <si>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</si>
  <si>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</si>
  <si>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</si>
  <si>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</si>
  <si>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</si>
  <si>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</si>
  <si>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</si>
  <si>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</si>
  <si>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</si>
  <si>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</si>
  <si>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</si>
  <si>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</si>
  <si>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</si>
  <si>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</si>
  <si>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</si>
  <si>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</si>
  <si>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</si>
  <si>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</si>
  <si>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</si>
  <si>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</si>
  <si>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</si>
  <si>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</si>
  <si>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</si>
  <si>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</si>
  <si>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</si>
  <si>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</si>
  <si>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</si>
  <si>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</si>
  <si>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</si>
  <si>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</si>
  <si>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</si>
  <si>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</si>
  <si>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</si>
  <si>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</si>
  <si>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</si>
  <si>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</si>
  <si>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</si>
  <si>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</si>
  <si>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</si>
  <si>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</si>
  <si>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</si>
  <si>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</si>
  <si>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</si>
  <si>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</si>
  <si>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</si>
  <si>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</si>
  <si>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</si>
  <si>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</si>
  <si>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</si>
  <si>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</si>
  <si>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</si>
  <si>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</si>
  <si>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</si>
  <si>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</si>
  <si>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</si>
  <si>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</si>
  <si>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</si>
  <si>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</si>
  <si>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</si>
  <si>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</si>
  <si>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</si>
  <si>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</si>
  <si>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</si>
  <si>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</si>
  <si>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</si>
  <si>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</si>
  <si>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</si>
  <si>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</si>
  <si>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</si>
  <si>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</si>
  <si>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</si>
  <si>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</si>
  <si>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</si>
  <si>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</si>
  <si>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</si>
  <si>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</si>
  <si>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</si>
  <si>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</si>
  <si>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</si>
  <si>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</si>
  <si>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</si>
  <si>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</si>
  <si>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</si>
  <si>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</si>
  <si>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</si>
  <si>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</si>
  <si>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</si>
  <si>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</si>
  <si>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</si>
  <si>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</si>
  <si>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</si>
  <si>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</si>
  <si>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</si>
  <si>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</si>
  <si>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</si>
  <si>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</si>
  <si>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</si>
  <si>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</si>
  <si>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</si>
  <si>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</si>
  <si>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</si>
  <si>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</si>
  <si>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</si>
  <si>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</si>
  <si>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</si>
  <si>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</si>
  <si>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</si>
  <si>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</si>
  <si>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</si>
  <si>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</si>
  <si>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</si>
  <si>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</si>
  <si>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</si>
  <si>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</si>
  <si>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</si>
  <si>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</si>
  <si>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</si>
  <si>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</si>
  <si>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</si>
  <si>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</si>
  <si>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</si>
  <si>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</si>
  <si>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</si>
  <si>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</si>
  <si>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</si>
  <si>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</si>
  <si>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</si>
  <si>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</si>
  <si>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</si>
  <si>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</si>
  <si>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</si>
  <si>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</si>
  <si>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</si>
  <si>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</si>
  <si>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</si>
  <si>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</si>
  <si>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</si>
  <si>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</si>
  <si>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</si>
  <si>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</si>
  <si>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</si>
  <si>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</si>
  <si>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</si>
  <si>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</si>
  <si>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</si>
  <si>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</si>
  <si>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</si>
  <si>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</si>
  <si>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</si>
  <si>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</si>
  <si>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</si>
  <si>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</si>
  <si>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</si>
  <si>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</si>
  <si>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</si>
  <si>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</si>
  <si>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</si>
  <si>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</si>
  <si>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</si>
  <si>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</si>
  <si>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</si>
  <si>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</si>
  <si>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</si>
  <si>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</si>
  <si>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</si>
  <si>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</si>
  <si>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</si>
  <si>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</si>
  <si>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</si>
  <si>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</si>
  <si>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</si>
  <si>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</si>
  <si>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</si>
  <si>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</si>
  <si>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</si>
  <si>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</si>
  <si>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</si>
  <si>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</si>
  <si>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</si>
  <si>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</si>
  <si>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</si>
  <si>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</si>
  <si>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</si>
  <si>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</si>
  <si>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</si>
  <si>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</si>
  <si>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</si>
  <si>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</si>
  <si>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</si>
  <si>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</si>
  <si>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</si>
  <si>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</si>
  <si>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</si>
  <si>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</si>
  <si>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</si>
  <si>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</si>
  <si>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</si>
  <si>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</si>
  <si>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</si>
  <si>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</si>
  <si>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</si>
  <si>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</si>
  <si>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</si>
  <si>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</si>
  <si>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</si>
  <si>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</si>
  <si>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</si>
  <si>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</si>
  <si>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</si>
  <si>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</si>
  <si>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</si>
  <si>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</si>
  <si>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</si>
  <si>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</si>
  <si>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</si>
  <si>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</si>
  <si>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</si>
  <si>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</si>
  <si>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</si>
  <si>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</si>
  <si>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</si>
  <si>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</si>
  <si>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</si>
  <si>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</si>
  <si>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</si>
  <si>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</si>
  <si>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</si>
  <si>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</si>
  <si>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</si>
  <si>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</si>
  <si>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</si>
  <si>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</si>
  <si>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</si>
  <si>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</si>
  <si>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</si>
  <si>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</si>
  <si>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</si>
  <si>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</si>
  <si>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</si>
  <si>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</si>
  <si>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</si>
  <si>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</si>
  <si>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</si>
  <si>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</si>
  <si>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</si>
  <si>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</si>
  <si>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</si>
  <si>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</si>
  <si>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</si>
  <si>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</si>
  <si>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</si>
  <si>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</si>
  <si>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</si>
  <si>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</si>
  <si>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</si>
  <si>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</si>
  <si>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</si>
  <si>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</si>
  <si>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</si>
  <si>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</si>
  <si>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</si>
  <si>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</si>
  <si>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</si>
  <si>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</si>
  <si>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</si>
  <si>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</si>
  <si>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</si>
  <si>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</si>
  <si>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</si>
  <si>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</si>
  <si>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</si>
  <si>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</si>
  <si>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</si>
  <si>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</si>
  <si>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</si>
  <si>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</si>
  <si>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</si>
  <si>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</si>
  <si>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</si>
  <si>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</si>
  <si>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</si>
  <si>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</si>
  <si>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</si>
  <si>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</si>
  <si>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</si>
  <si>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</si>
  <si>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</si>
  <si>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</si>
  <si>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</si>
  <si>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</si>
  <si>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</si>
  <si>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</si>
  <si>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</si>
  <si>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</si>
  <si>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</si>
  <si>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</si>
  <si>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</si>
  <si>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</si>
  <si>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</si>
  <si>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</si>
  <si>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</si>
  <si>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</si>
  <si>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</si>
  <si>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</si>
  <si>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</si>
  <si>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</si>
  <si>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</si>
  <si>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</si>
  <si>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</si>
  <si>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</si>
  <si>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</si>
  <si>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</si>
  <si>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</si>
  <si>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</si>
  <si>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</si>
  <si>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</si>
  <si>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</si>
  <si>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</si>
  <si>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</si>
  <si>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</si>
  <si>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</si>
  <si>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</si>
  <si>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</si>
  <si>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</si>
  <si>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</si>
  <si>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</si>
  <si>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</si>
  <si>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</si>
  <si>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</si>
  <si>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</si>
  <si>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</si>
  <si>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</si>
  <si>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</si>
  <si>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</si>
  <si>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</si>
  <si>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</si>
  <si>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</si>
  <si>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</si>
  <si>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</si>
  <si>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</si>
  <si>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</si>
  <si>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</si>
  <si>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</si>
  <si>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</si>
  <si>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</si>
  <si>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</si>
  <si>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</si>
  <si>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</si>
  <si>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</si>
  <si>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</si>
  <si>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</si>
  <si>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</si>
  <si>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</si>
  <si>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</si>
  <si>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</si>
  <si>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</si>
  <si>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</si>
  <si>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</si>
  <si>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</si>
  <si>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</si>
  <si>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</si>
  <si>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</si>
  <si>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</si>
  <si>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</si>
  <si>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</si>
  <si>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</si>
  <si>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</si>
  <si>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</si>
  <si>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</si>
  <si>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</si>
  <si>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</si>
  <si>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</si>
  <si>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</si>
  <si>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</si>
  <si>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</si>
  <si>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</si>
  <si>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</si>
  <si>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</si>
  <si>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</si>
  <si>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</si>
  <si>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</si>
  <si>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</si>
  <si>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</si>
  <si>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</si>
  <si>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</si>
  <si>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</si>
  <si>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</si>
  <si>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</si>
  <si>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</si>
  <si>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</si>
  <si>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</si>
  <si>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</si>
  <si>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</si>
  <si>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</si>
  <si>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</si>
  <si>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</si>
  <si>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</si>
  <si>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</si>
  <si>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</si>
  <si>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</si>
  <si>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</si>
  <si>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</si>
  <si>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</si>
  <si>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</si>
  <si>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</si>
  <si>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</si>
  <si>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</si>
  <si>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</si>
  <si>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</si>
  <si>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</si>
  <si>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</si>
  <si>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</si>
  <si>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</si>
  <si>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</si>
  <si>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</si>
  <si>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</si>
  <si>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</si>
  <si>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</si>
  <si>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</si>
  <si>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</si>
  <si>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</si>
  <si>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</si>
  <si>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</si>
  <si>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</si>
  <si>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</si>
  <si>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</si>
  <si>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</si>
  <si>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</si>
  <si>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</si>
  <si>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</si>
  <si>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</si>
  <si>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</si>
  <si>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</si>
  <si>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</si>
  <si>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</si>
  <si>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</si>
  <si>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</si>
  <si>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</si>
  <si>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</si>
  <si>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</si>
  <si>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</si>
  <si>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</si>
  <si>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</si>
  <si>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</si>
  <si>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</si>
  <si>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</si>
  <si>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</si>
  <si>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</si>
  <si>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</si>
  <si>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</si>
  <si>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</si>
  <si>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</si>
  <si>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</si>
  <si>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</si>
  <si>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</si>
  <si>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</si>
  <si>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</si>
  <si>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</si>
  <si>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</si>
  <si>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</si>
  <si>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</si>
  <si>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</si>
  <si>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</si>
  <si>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</si>
  <si>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</si>
  <si>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</si>
  <si>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</si>
  <si>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</si>
  <si>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</si>
  <si>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</si>
  <si>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</si>
  <si>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</si>
  <si>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</si>
  <si>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</si>
  <si>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</si>
  <si>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</si>
  <si>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</si>
  <si>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</si>
  <si>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</si>
  <si>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</si>
  <si>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</si>
  <si>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</si>
  <si>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</si>
  <si>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</si>
  <si>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</si>
  <si>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</si>
  <si>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</si>
  <si>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</si>
  <si>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</si>
  <si>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</si>
  <si>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</si>
  <si>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</si>
  <si>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</si>
  <si>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</si>
  <si>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</si>
  <si>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</si>
  <si>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</si>
  <si>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</si>
  <si>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</si>
  <si>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</si>
  <si>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</si>
  <si>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</si>
  <si>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</si>
  <si>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</si>
  <si>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</si>
  <si>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</si>
  <si>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</si>
  <si>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</si>
  <si>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</si>
  <si>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</si>
  <si>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</si>
  <si>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</si>
  <si>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</si>
  <si>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</si>
  <si>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</si>
  <si>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</si>
  <si>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</si>
  <si>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</si>
  <si>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</si>
  <si>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</si>
  <si>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</si>
  <si>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</si>
  <si>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</si>
  <si>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</si>
  <si>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</si>
  <si>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</si>
  <si>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</si>
  <si>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</si>
  <si>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</si>
  <si>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</si>
  <si>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</si>
  <si>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</si>
  <si>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</si>
  <si>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</si>
  <si>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</si>
  <si>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</si>
  <si>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</si>
  <si>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</si>
  <si>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</si>
  <si>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</si>
  <si>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</si>
  <si>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</si>
  <si>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</si>
  <si>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</si>
  <si>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</si>
  <si>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</si>
  <si>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</si>
  <si>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</si>
  <si>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</si>
  <si>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</si>
  <si>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</si>
  <si>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</si>
  <si>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</si>
  <si>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</si>
  <si>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</si>
  <si>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</si>
  <si>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</si>
  <si>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</si>
  <si>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</si>
  <si>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</si>
  <si>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</si>
  <si>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</si>
  <si>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</si>
  <si>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</si>
  <si>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</si>
  <si>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</si>
  <si>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</si>
  <si>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</si>
  <si>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</si>
  <si>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</si>
  <si>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</si>
  <si>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</si>
  <si>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</si>
  <si>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</si>
  <si>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</si>
  <si>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</si>
  <si>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</si>
  <si>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</si>
  <si>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</si>
  <si>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</si>
  <si>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</si>
  <si>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</si>
  <si>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</si>
  <si>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</si>
  <si>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</si>
  <si>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</si>
  <si>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</si>
  <si>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</si>
  <si>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</si>
  <si>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</si>
  <si>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</si>
  <si>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</si>
  <si>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</si>
  <si>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</si>
  <si>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</si>
  <si>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</si>
  <si>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</si>
  <si>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</si>
  <si>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</si>
  <si>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</si>
  <si>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</si>
  <si>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</si>
  <si>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</si>
  <si>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</si>
  <si>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</si>
  <si>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</si>
  <si>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</si>
  <si>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</si>
  <si>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</si>
  <si>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</si>
  <si>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</si>
  <si>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</si>
  <si>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</si>
  <si>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</si>
  <si>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</si>
  <si>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</si>
  <si>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</si>
  <si>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</si>
  <si>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</si>
  <si>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</si>
  <si>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</si>
  <si>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</si>
  <si>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</si>
  <si>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</si>
  <si>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</si>
  <si>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</si>
  <si>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</si>
  <si>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</si>
  <si>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</si>
  <si>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</si>
  <si>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</si>
  <si>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</si>
  <si>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</si>
  <si>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</si>
  <si>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</si>
  <si>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</si>
  <si>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</si>
  <si>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</si>
  <si>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</si>
  <si>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</si>
  <si>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</si>
  <si>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</si>
  <si>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</si>
  <si>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</si>
  <si>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</si>
  <si>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</si>
  <si>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</si>
  <si>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</si>
  <si>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</si>
  <si>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</si>
  <si>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</si>
  <si>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</si>
  <si>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</si>
  <si>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</si>
  <si>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</si>
  <si>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</si>
  <si>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</si>
  <si>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</si>
  <si>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</si>
  <si>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</si>
  <si>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</si>
  <si>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</si>
  <si>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</si>
  <si>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</si>
  <si>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</si>
  <si>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</si>
  <si>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</si>
  <si>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</si>
  <si>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</si>
  <si>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</si>
  <si>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</si>
  <si>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</si>
  <si>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</si>
  <si>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</si>
  <si>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</si>
  <si>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</si>
  <si>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</si>
  <si>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</si>
  <si>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</si>
  <si>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</si>
  <si>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</si>
  <si>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</si>
  <si>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</si>
  <si>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</si>
  <si>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</si>
  <si>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</si>
  <si>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</si>
  <si>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</si>
  <si>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</si>
  <si>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</si>
  <si>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</si>
  <si>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</si>
  <si>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</si>
  <si>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</si>
  <si>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</si>
  <si>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</si>
  <si>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</si>
  <si>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</si>
  <si>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</si>
  <si>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</si>
  <si>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</si>
  <si>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</si>
  <si>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</si>
  <si>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</si>
  <si>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</si>
  <si>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</si>
  <si>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</si>
  <si>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</si>
  <si>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</si>
  <si>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</si>
  <si>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</si>
  <si>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</si>
  <si>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</si>
  <si>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</si>
  <si>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</si>
  <si>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</si>
  <si>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</si>
  <si>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</si>
  <si>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</si>
  <si>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</si>
  <si>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</si>
  <si>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</si>
  <si>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</si>
  <si>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</si>
  <si>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</si>
  <si>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</si>
  <si>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</si>
  <si>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</si>
  <si>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</si>
  <si>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</si>
  <si>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</si>
  <si>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</si>
  <si>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</si>
  <si>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</si>
  <si>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</si>
  <si>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</si>
  <si>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</si>
  <si>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</si>
  <si>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</si>
  <si>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</si>
  <si>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</si>
  <si>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</si>
  <si>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</si>
  <si>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</si>
  <si>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</si>
  <si>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</si>
  <si>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</si>
  <si>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</si>
  <si>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</si>
  <si>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</si>
  <si>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</si>
  <si>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</si>
  <si>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</si>
  <si>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</si>
  <si>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</si>
  <si>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</si>
  <si>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</si>
  <si>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</si>
  <si>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</si>
  <si>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</si>
  <si>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</si>
  <si>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</si>
  <si>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</si>
  <si>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</si>
  <si>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</si>
  <si>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</si>
  <si>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</si>
  <si>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</si>
  <si>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</si>
  <si>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</si>
  <si>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</si>
  <si>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</si>
  <si>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</si>
  <si>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</si>
  <si>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</si>
  <si>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</si>
  <si>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</si>
  <si>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</si>
  <si>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</si>
  <si>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</si>
  <si>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</si>
  <si>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</si>
  <si>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</si>
  <si>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</si>
  <si>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</si>
  <si>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</si>
  <si>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</si>
  <si>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</si>
  <si>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</si>
  <si>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</si>
  <si>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</si>
  <si>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</si>
  <si>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</si>
  <si>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</si>
  <si>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</si>
  <si>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</si>
  <si>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</si>
  <si>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</si>
  <si>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</si>
  <si>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</si>
  <si>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</si>
  <si>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</si>
  <si>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</si>
  <si>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</si>
  <si>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</si>
  <si>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</si>
  <si>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</si>
  <si>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</si>
  <si>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</si>
  <si>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</si>
  <si>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</si>
  <si>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</si>
  <si>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</si>
  <si>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</si>
  <si>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</si>
  <si>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</si>
  <si>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</si>
  <si>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</si>
  <si>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</si>
  <si>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</si>
  <si>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</si>
  <si>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</si>
  <si>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</si>
  <si>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</si>
  <si>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</si>
  <si>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</si>
  <si>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</si>
  <si>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</si>
  <si>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</si>
  <si>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</si>
  <si>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</si>
  <si>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</si>
  <si>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</si>
  <si>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</si>
  <si>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</si>
  <si>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</si>
  <si>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</si>
  <si>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</si>
  <si>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</si>
  <si>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</si>
  <si>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</si>
  <si>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</si>
  <si>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</si>
  <si>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</si>
  <si>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</si>
  <si>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</si>
  <si>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</si>
  <si>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</si>
  <si>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</si>
  <si>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</si>
  <si>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</si>
  <si>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</si>
  <si>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</si>
  <si>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</si>
  <si>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</si>
  <si>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</si>
  <si>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</si>
  <si>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</si>
  <si>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</si>
  <si>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</si>
  <si>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</si>
  <si>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</si>
  <si>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</si>
  <si>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</si>
  <si>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</si>
  <si>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</si>
  <si>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</si>
  <si>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</si>
  <si>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</si>
  <si>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</si>
  <si>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</si>
  <si>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</si>
  <si>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</si>
  <si>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</si>
  <si>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</si>
  <si>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</si>
  <si>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</si>
  <si>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</si>
  <si>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</si>
  <si>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</si>
  <si>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</si>
  <si>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</si>
  <si>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</si>
  <si>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</si>
  <si>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</si>
  <si>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</si>
  <si>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</si>
  <si>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</si>
  <si>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</si>
  <si>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</si>
  <si>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</si>
  <si>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</si>
  <si>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</si>
  <si>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</si>
  <si>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</si>
  <si>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</si>
  <si>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</si>
  <si>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</si>
  <si>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</si>
  <si>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</si>
  <si>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</si>
  <si>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</si>
  <si>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</si>
  <si>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</si>
  <si>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</si>
  <si>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</si>
  <si>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</si>
  <si>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</si>
  <si>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</si>
  <si>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</si>
  <si>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</si>
  <si>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</si>
  <si>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</si>
  <si>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</si>
  <si>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</si>
  <si>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</si>
  <si>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</si>
  <si>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</si>
  <si>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</si>
  <si>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</si>
  <si>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</si>
  <si>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</si>
  <si>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</si>
  <si>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</si>
  <si>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</si>
  <si>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</si>
  <si>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</si>
  <si>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</si>
  <si>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</si>
  <si>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</si>
  <si>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</si>
  <si>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</si>
  <si>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</si>
  <si>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</si>
  <si>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</si>
  <si>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</si>
  <si>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</si>
  <si>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</si>
  <si>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</si>
  <si>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</si>
  <si>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</si>
  <si>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</si>
  <si>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</si>
  <si>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</si>
  <si>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</si>
  <si>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</si>
  <si>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</si>
  <si>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</si>
  <si>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</si>
  <si>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</si>
  <si>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</si>
  <si>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</si>
  <si>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</si>
  <si>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</si>
  <si>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</si>
  <si>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</si>
  <si>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</si>
  <si>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</si>
  <si>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</si>
  <si>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</si>
  <si>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</si>
  <si>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</si>
  <si>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</si>
  <si>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</si>
  <si>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</si>
  <si>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</si>
  <si>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</si>
  <si>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</si>
  <si>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</si>
  <si>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</si>
  <si>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</si>
  <si>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</si>
  <si>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</si>
  <si>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</si>
  <si>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</si>
  <si>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</si>
  <si>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</si>
  <si>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</si>
  <si>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</si>
  <si>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</si>
  <si>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</si>
  <si>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</si>
  <si>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</si>
  <si>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</si>
  <si>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</si>
  <si>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</si>
  <si>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</si>
  <si>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</si>
  <si>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</si>
  <si>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</si>
  <si>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</si>
  <si>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</si>
  <si>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</si>
  <si>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</si>
  <si>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</si>
  <si>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</si>
  <si>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</si>
  <si>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</si>
  <si>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</si>
  <si>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</si>
  <si>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</si>
  <si>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</si>
  <si>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</si>
  <si>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</si>
  <si>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</si>
  <si>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</si>
  <si>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</si>
  <si>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</si>
  <si>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</si>
  <si>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</si>
  <si>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</si>
  <si>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</si>
  <si>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</si>
  <si>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</si>
  <si>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</si>
  <si>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</si>
  <si>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</si>
  <si>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</si>
  <si>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</si>
  <si>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</si>
  <si>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</si>
  <si>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</si>
  <si>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</si>
  <si>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</si>
  <si>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</si>
  <si>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</si>
  <si>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</si>
  <si>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</si>
  <si>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</si>
  <si>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</si>
  <si>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</si>
  <si>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</si>
  <si>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</si>
  <si>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</si>
  <si>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</si>
  <si>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</si>
  <si>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</si>
  <si>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</si>
  <si>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</si>
  <si>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</si>
  <si>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</si>
  <si>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</si>
  <si>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</si>
  <si>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</si>
  <si>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</si>
  <si>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</si>
  <si>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</si>
  <si>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</si>
  <si>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</si>
  <si>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</si>
  <si>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</si>
  <si>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</si>
  <si>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</si>
  <si>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</si>
  <si>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</si>
  <si>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</si>
  <si>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</si>
  <si>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</si>
  <si>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</si>
  <si>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</si>
  <si>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</si>
  <si>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</si>
  <si>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</si>
  <si>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</si>
  <si>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</si>
  <si>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</si>
  <si>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</si>
  <si>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</si>
  <si>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</si>
  <si>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</si>
  <si>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</si>
  <si>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</si>
  <si>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</si>
  <si>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</si>
  <si>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</si>
  <si>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</si>
  <si>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</si>
  <si>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</si>
  <si>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</si>
  <si>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</si>
  <si>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</si>
  <si>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</si>
  <si>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</si>
  <si>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</si>
  <si>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</si>
  <si>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</si>
  <si>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</si>
  <si>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</si>
  <si>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</si>
  <si>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</si>
  <si>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</si>
  <si>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</si>
  <si>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</si>
  <si>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</si>
  <si>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</si>
  <si>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</si>
  <si>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</si>
  <si>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</si>
  <si>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</si>
  <si>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</si>
  <si>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</si>
  <si>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</si>
  <si>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</si>
  <si>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</si>
  <si>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</si>
  <si>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</si>
  <si>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</si>
  <si>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</si>
  <si>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</si>
  <si>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</si>
  <si>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</si>
  <si>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</si>
  <si>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</si>
  <si>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</si>
  <si>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</si>
  <si>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</si>
  <si>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</si>
  <si>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</si>
  <si>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</si>
  <si>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</si>
  <si>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</si>
  <si>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</si>
  <si>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</si>
  <si>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</si>
  <si>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</si>
  <si>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</si>
  <si>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</si>
  <si>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</si>
  <si>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</si>
  <si>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</si>
  <si>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</si>
  <si>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</si>
  <si>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</si>
  <si>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</si>
  <si>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</si>
  <si>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</si>
  <si>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</si>
  <si>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</si>
  <si>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</si>
  <si>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</si>
  <si>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</si>
  <si>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</si>
  <si>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</si>
  <si>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</si>
  <si>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</si>
  <si>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</si>
  <si>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</si>
  <si>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</si>
  <si>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</si>
  <si>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</si>
  <si>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</si>
  <si>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</si>
  <si>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</si>
  <si>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</si>
  <si>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</si>
  <si>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</si>
  <si>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</si>
  <si>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</si>
  <si>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</si>
  <si>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</si>
  <si>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</si>
  <si>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</si>
  <si>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</si>
  <si>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</si>
  <si>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</si>
  <si>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</si>
  <si>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</si>
  <si>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</si>
  <si>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</si>
  <si>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</si>
  <si>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</si>
  <si>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</si>
  <si>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</si>
  <si>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</si>
  <si>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</si>
  <si>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</si>
  <si>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</si>
  <si>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</si>
  <si>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</si>
  <si>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</si>
  <si>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</si>
  <si>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</si>
  <si>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</si>
  <si>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</si>
  <si>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</si>
  <si>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</si>
  <si>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</si>
  <si>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</si>
  <si>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</si>
  <si>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</si>
  <si>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</si>
  <si>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</si>
  <si>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</si>
  <si>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</si>
  <si>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</si>
  <si>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</si>
  <si>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</si>
  <si>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</si>
  <si>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</si>
  <si>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</si>
  <si>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</si>
  <si>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</si>
  <si>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</si>
  <si>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</si>
  <si>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</si>
  <si>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</si>
  <si>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</si>
  <si>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</si>
  <si>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</si>
  <si>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</si>
  <si>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</si>
  <si>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</si>
  <si>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</si>
  <si>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</si>
  <si>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</si>
  <si>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</si>
  <si>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</si>
  <si>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</si>
  <si>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</si>
  <si>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</si>
  <si>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</si>
  <si>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</si>
  <si>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</si>
  <si>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</si>
  <si>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</si>
  <si>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</si>
  <si>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</si>
  <si>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</si>
  <si>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</si>
  <si>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</si>
  <si>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</si>
  <si>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</si>
  <si>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</si>
  <si>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</si>
  <si>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</si>
  <si>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</si>
  <si>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</si>
  <si>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</si>
  <si>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</si>
  <si>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</si>
  <si>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</si>
  <si>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</si>
  <si>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</si>
  <si>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</si>
  <si>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</si>
  <si>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</si>
  <si>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</si>
  <si>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</si>
  <si>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</si>
  <si>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</si>
  <si>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</si>
  <si>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</si>
  <si>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</si>
  <si>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</si>
  <si>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</si>
  <si>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</si>
  <si>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</si>
  <si>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</si>
  <si>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</si>
  <si>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</si>
  <si>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</si>
  <si>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</si>
  <si>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</si>
  <si>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</si>
  <si>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</si>
  <si>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</si>
  <si>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</si>
  <si>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</si>
  <si>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</si>
  <si>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</si>
  <si>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</si>
  <si>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</si>
  <si>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</si>
  <si>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</si>
  <si>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</si>
  <si>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</si>
  <si>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</si>
  <si>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</si>
  <si>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</si>
  <si>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</si>
  <si>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</si>
  <si>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</si>
  <si>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</si>
  <si>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</si>
  <si>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</si>
  <si>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</si>
  <si>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</si>
  <si>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</si>
  <si>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</si>
  <si>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</si>
  <si>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</si>
  <si>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</si>
  <si>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</si>
  <si>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</si>
  <si>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</si>
  <si>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</si>
  <si>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</si>
  <si>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</si>
  <si>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</si>
  <si>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</si>
  <si>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</si>
  <si>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</si>
  <si>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</si>
  <si>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</si>
  <si>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</si>
  <si>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</si>
  <si>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</si>
  <si>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</si>
  <si>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</si>
  <si>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</si>
  <si>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</si>
  <si>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</si>
  <si>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</si>
  <si>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</si>
  <si>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</si>
  <si>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</si>
  <si>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</si>
  <si>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</si>
  <si>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</si>
  <si>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</si>
  <si>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</si>
  <si>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</si>
  <si>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</si>
  <si>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</si>
  <si>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</si>
  <si>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</si>
  <si>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</si>
  <si>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</si>
  <si>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</si>
  <si>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</si>
  <si>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</si>
  <si>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</si>
  <si>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</si>
  <si>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</si>
  <si>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</si>
  <si>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</si>
  <si>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</si>
  <si>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</si>
  <si>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</si>
  <si>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</si>
  <si>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</si>
  <si>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</si>
  <si>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</si>
  <si>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</si>
  <si>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</si>
  <si>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</si>
  <si>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</si>
  <si>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</si>
  <si>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</si>
  <si>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</si>
  <si>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</si>
  <si>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</si>
  <si>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</si>
  <si>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</si>
  <si>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</si>
  <si>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</si>
  <si>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</si>
  <si>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</si>
  <si>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</si>
  <si>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</si>
  <si>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</si>
  <si>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</si>
  <si>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</si>
  <si>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</si>
  <si>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</si>
  <si>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</si>
  <si>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</si>
  <si>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</si>
  <si>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</si>
  <si>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</si>
  <si>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</si>
  <si>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</si>
  <si>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</si>
  <si>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</si>
  <si>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</si>
  <si>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</si>
  <si>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</si>
  <si>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</si>
  <si>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</si>
  <si>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</si>
  <si>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</si>
  <si>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</si>
  <si>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</si>
  <si>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</si>
  <si>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</si>
  <si>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</si>
  <si>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</si>
  <si>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</si>
  <si>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</si>
  <si>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</si>
  <si>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</si>
  <si>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</si>
  <si>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</si>
  <si>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</si>
  <si>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</si>
  <si>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</si>
  <si>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</si>
  <si>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</si>
  <si>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</si>
  <si>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</si>
  <si>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</si>
  <si>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</si>
  <si>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</si>
  <si>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</si>
  <si>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</si>
  <si>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</si>
  <si>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</si>
  <si>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</si>
  <si>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</si>
  <si>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</si>
  <si>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</si>
  <si>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</si>
  <si>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</si>
  <si>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</si>
  <si>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</si>
  <si>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</si>
  <si>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</si>
  <si>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</si>
  <si>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</si>
  <si>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</si>
  <si>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</si>
  <si>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</si>
  <si>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</si>
  <si>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</si>
  <si>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</si>
  <si>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</si>
  <si>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</si>
  <si>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</si>
  <si>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</si>
  <si>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</si>
  <si>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</si>
  <si>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</si>
  <si>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</si>
  <si>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</si>
  <si>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</si>
  <si>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</si>
  <si>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</si>
  <si>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</si>
  <si>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</si>
  <si>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</si>
  <si>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</si>
  <si>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</si>
  <si>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</si>
  <si>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</si>
  <si>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</si>
  <si>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</si>
  <si>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</si>
  <si>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</si>
  <si>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</si>
  <si>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</si>
  <si>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</si>
  <si>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</si>
  <si>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</si>
  <si>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</si>
  <si>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</si>
  <si>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</si>
  <si>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</si>
  <si>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</si>
  <si>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</si>
  <si>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</si>
  <si>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</si>
  <si>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</si>
  <si>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</si>
  <si>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</si>
  <si>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</si>
  <si>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</si>
  <si>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</si>
  <si>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</si>
  <si>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</si>
  <si>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</si>
  <si>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</si>
  <si>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</si>
  <si>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</si>
  <si>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</si>
  <si>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</si>
  <si>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</si>
  <si>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</si>
  <si>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</si>
  <si>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</si>
  <si>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</si>
  <si>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</si>
  <si>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</si>
  <si>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</si>
  <si>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</si>
  <si>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</si>
  <si>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</si>
  <si>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</si>
  <si>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</si>
  <si>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</si>
  <si>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</si>
  <si>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</si>
  <si>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</si>
  <si>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</si>
  <si>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</si>
  <si>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</si>
  <si>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</si>
  <si>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</si>
  <si>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</si>
  <si>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</si>
  <si>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</si>
  <si>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</si>
  <si>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</si>
  <si>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</si>
  <si>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</si>
  <si>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</si>
  <si>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</si>
  <si>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</si>
  <si>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</si>
  <si>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</si>
  <si>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</si>
  <si>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</si>
  <si>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</si>
  <si>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</si>
  <si>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</si>
  <si>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</si>
  <si>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</si>
  <si>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</si>
  <si>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</si>
  <si>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</si>
  <si>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</si>
  <si>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</si>
  <si>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</si>
  <si>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</si>
  <si>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</si>
  <si>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</si>
  <si>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</si>
  <si>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</si>
  <si>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</si>
  <si>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</si>
  <si>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</si>
  <si>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</si>
  <si>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</si>
  <si>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</si>
  <si>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</si>
  <si>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</si>
  <si>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</si>
  <si>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</si>
  <si>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</si>
  <si>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</si>
  <si>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</si>
  <si>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</si>
  <si>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</si>
  <si>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</si>
  <si>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</si>
  <si>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</si>
  <si>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</si>
  <si>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</si>
  <si>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</si>
  <si>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</si>
  <si>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</si>
  <si>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</si>
  <si>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</si>
  <si>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</si>
  <si>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</si>
  <si>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</si>
  <si>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</si>
  <si>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</si>
  <si>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</si>
  <si>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</si>
  <si>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</si>
  <si>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</si>
  <si>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</si>
  <si>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</si>
  <si>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</si>
  <si>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</si>
  <si>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</si>
  <si>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</si>
  <si>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</si>
  <si>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</si>
  <si>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</si>
  <si>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</si>
  <si>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</si>
  <si>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</si>
  <si>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</si>
  <si>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</si>
  <si>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</si>
  <si>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</si>
  <si>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</si>
  <si>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</si>
  <si>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</si>
  <si>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</si>
  <si>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</si>
  <si>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</si>
  <si>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</si>
  <si>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</si>
  <si>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</si>
  <si>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</si>
  <si>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</si>
  <si>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</si>
  <si>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</si>
  <si>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</si>
  <si>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</si>
  <si>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</si>
  <si>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</si>
  <si>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</si>
  <si>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</si>
  <si>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</si>
  <si>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</si>
  <si>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</si>
  <si>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</si>
  <si>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</si>
  <si>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</si>
  <si>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</si>
  <si>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</si>
  <si>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</si>
  <si>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</si>
  <si>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</si>
  <si>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</si>
  <si>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</si>
  <si>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</si>
  <si>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</si>
  <si>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</si>
  <si>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</si>
  <si>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</si>
  <si>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</si>
  <si>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</si>
  <si>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</si>
  <si>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</si>
  <si>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</si>
  <si>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</si>
  <si>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</si>
  <si>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</si>
  <si>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</si>
  <si>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</si>
  <si>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</si>
  <si>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</si>
  <si>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</si>
  <si>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</si>
  <si>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</si>
  <si>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</si>
  <si>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</si>
  <si>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</si>
  <si>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</si>
  <si>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</si>
  <si>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</si>
  <si>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</si>
  <si>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</si>
  <si>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</si>
  <si>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</si>
  <si>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</si>
  <si>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</si>
  <si>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</si>
  <si>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</si>
  <si>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</si>
  <si>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</si>
  <si>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</si>
  <si>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</si>
  <si>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</si>
  <si>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</si>
  <si>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</si>
  <si>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</si>
  <si>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</si>
  <si>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</si>
  <si>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</si>
  <si>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</si>
  <si>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</si>
  <si>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</si>
  <si>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</si>
  <si>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</si>
  <si>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</si>
  <si>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</si>
  <si>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</si>
  <si>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</si>
  <si>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</si>
  <si>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</si>
  <si>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</si>
  <si>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</si>
  <si>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</si>
  <si>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</si>
  <si>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</si>
  <si>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</si>
  <si>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</si>
  <si>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</si>
  <si>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</si>
  <si>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</si>
  <si>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</si>
  <si>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</si>
  <si>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</si>
  <si>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</si>
  <si>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</si>
  <si>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</si>
  <si>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</si>
  <si>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</si>
  <si>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</si>
  <si>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</si>
  <si>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</si>
  <si>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</si>
  <si>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</si>
  <si>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</si>
  <si>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</si>
  <si>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</si>
  <si>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</si>
  <si>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</si>
  <si>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</si>
  <si>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</si>
  <si>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</si>
  <si>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</si>
  <si>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</si>
  <si>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</si>
  <si>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</si>
  <si>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</si>
  <si>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</si>
  <si>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</si>
  <si>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</si>
  <si>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</si>
  <si>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</si>
  <si>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</si>
  <si>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</si>
  <si>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</si>
  <si>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</si>
  <si>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</si>
  <si>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</si>
  <si>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</si>
  <si>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</si>
  <si>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</si>
  <si>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</si>
  <si>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</si>
  <si>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</si>
  <si>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</si>
  <si>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</si>
  <si>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</si>
  <si>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</si>
  <si>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</si>
  <si>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</si>
  <si>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</si>
  <si>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</si>
  <si>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</si>
  <si>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</si>
  <si>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</si>
  <si>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</si>
  <si>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</si>
  <si>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</si>
  <si>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</si>
  <si>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</si>
  <si>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</si>
  <si>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</si>
  <si>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</si>
  <si>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</si>
  <si>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</si>
  <si>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</si>
  <si>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</si>
  <si>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</si>
  <si>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</si>
  <si>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</si>
  <si>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</si>
  <si>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</si>
  <si>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</si>
  <si>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</si>
  <si>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</si>
  <si>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</si>
  <si>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</si>
  <si>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</si>
  <si>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</si>
  <si>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</si>
  <si>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</si>
  <si>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</si>
  <si>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</si>
  <si>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</si>
  <si>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</si>
  <si>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</si>
  <si>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</si>
  <si>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</si>
  <si>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</si>
  <si>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</si>
  <si>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</si>
  <si>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</si>
  <si>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</si>
  <si>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</si>
  <si>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</si>
  <si>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</si>
  <si>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</si>
  <si>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</si>
  <si>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</si>
  <si>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</si>
  <si>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</si>
  <si>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</si>
  <si>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</si>
  <si>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</si>
  <si>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</si>
  <si>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</si>
  <si>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</si>
  <si>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</si>
  <si>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</si>
  <si>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</si>
  <si>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</si>
  <si>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</si>
  <si>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</si>
  <si>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</si>
  <si>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</si>
  <si>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</si>
  <si>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</si>
  <si>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</si>
  <si>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</si>
  <si>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</si>
  <si>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</si>
  <si>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</si>
  <si>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</si>
  <si>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</si>
  <si>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</si>
  <si>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</si>
  <si>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</si>
  <si>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</si>
  <si>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</si>
  <si>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</si>
  <si>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</si>
  <si>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</si>
  <si>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</si>
  <si>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</si>
  <si>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</si>
  <si>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</si>
  <si>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</si>
  <si>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</si>
  <si>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</si>
  <si>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</si>
  <si>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</si>
  <si>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</si>
  <si>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</si>
  <si>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</si>
  <si>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</si>
  <si>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</si>
  <si>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</si>
  <si>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</si>
  <si>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</si>
  <si>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</si>
  <si>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</si>
  <si>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</si>
  <si>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</si>
  <si>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</si>
  <si>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</si>
  <si>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</si>
  <si>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</si>
  <si>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</si>
  <si>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</si>
  <si>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</si>
  <si>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</si>
  <si>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</si>
  <si>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</si>
  <si>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</si>
  <si>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</si>
  <si>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</si>
  <si>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</si>
  <si>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</si>
  <si>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</si>
  <si>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</si>
  <si>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</si>
  <si>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</si>
  <si>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</si>
  <si>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</si>
  <si>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</si>
  <si>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</si>
  <si>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</si>
  <si>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</si>
  <si>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</si>
  <si>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</si>
  <si>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</si>
  <si>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</si>
  <si>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</si>
  <si>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</si>
  <si>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</si>
  <si>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</si>
  <si>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</si>
  <si>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</si>
  <si>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</si>
  <si>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</si>
  <si>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</si>
  <si>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</si>
  <si>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</si>
  <si>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</si>
  <si>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</si>
  <si>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</si>
  <si>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</si>
  <si>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</si>
  <si>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</si>
  <si>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</si>
  <si>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</si>
  <si>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</si>
  <si>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</si>
  <si>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</si>
  <si>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</si>
  <si>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</si>
  <si>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</si>
  <si>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</si>
  <si>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</si>
  <si>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</si>
  <si>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</si>
  <si>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Mar</t>
  </si>
  <si>
    <t>Apr</t>
  </si>
  <si>
    <t>May</t>
  </si>
  <si>
    <t>Jun</t>
  </si>
  <si>
    <t>Jul</t>
  </si>
  <si>
    <t>Aug</t>
  </si>
  <si>
    <t>Sep</t>
  </si>
  <si>
    <t>Oct</t>
  </si>
  <si>
    <t>Years (Order Date)</t>
  </si>
  <si>
    <t>Months (Order Date)</t>
  </si>
  <si>
    <t>Sum of Sales</t>
  </si>
  <si>
    <t>Arabica</t>
  </si>
  <si>
    <t>Excelsa</t>
  </si>
  <si>
    <t>Liberica</t>
  </si>
  <si>
    <t>Robusta</t>
  </si>
  <si>
    <t xml:space="preserve"> </t>
  </si>
  <si>
    <t>Nov</t>
  </si>
  <si>
    <t>Dec</t>
  </si>
  <si>
    <t>2020</t>
  </si>
  <si>
    <t>Feb</t>
  </si>
  <si>
    <t>Jan</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</si>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</sst>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409]#,##0.00"/>
    <numFmt numFmtId="168" formatCode="[$$-409]#,##0"/>
  </numFmts>
  <fonts count="2" x14ac:knownFonts="1">
    <font>
      <sz val="11"/>
      <color theme="1"/>
      <name val="Calibri"/>
      <family val="2"/>
      <scheme val="minor"/>
    </font>
    <font>
      <sz val="11"/>
      <color indexed="8"/>
      <name val="Calibri"/>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right/>
      <top style="thin">
        <color theme="8"/>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0" fontId="1" fillId="0" borderId="1" xfId="0" applyFont="1" applyBorder="1" applyAlignment="1">
      <alignment vertical="center"/>
    </xf>
    <xf numFmtId="168" fontId="0" fillId="0" borderId="0" xfId="0" applyNumberFormat="1"/>
    <xf numFmtId="0" fontId="0" fillId="2" borderId="0" xfId="0" applyFill="1"/>
  </cellXfs>
  <cellStyles count="1">
    <cellStyle name="Normal" xfId="0" builtinId="0"/>
  </cellStyles>
  <dxfs count="105">
    <dxf>
      <numFmt numFmtId="167" formatCode="[$$-409]#,##0.00"/>
    </dxf>
    <dxf>
      <numFmt numFmtId="168" formatCode="[$$-409]#,##0"/>
    </dxf>
    <dxf>
      <numFmt numFmtId="3" formatCode="#,##0"/>
    </dxf>
    <dxf>
      <numFmt numFmtId="3" formatCode="#,##0"/>
    </dxf>
    <dxf>
      <numFmt numFmtId="167" formatCode="[$$-409]#,##0.00"/>
    </dxf>
    <dxf>
      <numFmt numFmtId="168" formatCode="[$$-409]#,##0"/>
    </dxf>
    <dxf>
      <numFmt numFmtId="167" formatCode="[$$-409]#,##0.00"/>
    </dxf>
    <dxf>
      <numFmt numFmtId="168" formatCode="[$$-409]#,##0"/>
    </dxf>
    <dxf>
      <numFmt numFmtId="3" formatCode="#,##0"/>
    </dxf>
    <dxf>
      <numFmt numFmtId="3" formatCode="#,##0"/>
    </dxf>
    <dxf>
      <numFmt numFmtId="167" formatCode="[$$-409]#,##0.00"/>
    </dxf>
    <dxf>
      <numFmt numFmtId="168" formatCode="[$$-409]#,##0"/>
    </dxf>
    <dxf>
      <numFmt numFmtId="167" formatCode="[$$-409]#,##0.00"/>
    </dxf>
    <dxf>
      <numFmt numFmtId="168" formatCode="[$$-409]#,##0"/>
    </dxf>
    <dxf>
      <numFmt numFmtId="3" formatCode="#,##0"/>
    </dxf>
    <dxf>
      <numFmt numFmtId="3" formatCode="#,##0"/>
    </dxf>
    <dxf>
      <numFmt numFmtId="167" formatCode="[$$-409]#,##0.00"/>
    </dxf>
    <dxf>
      <numFmt numFmtId="168" formatCode="[$$-409]#,##0"/>
    </dxf>
    <dxf>
      <numFmt numFmtId="167" formatCode="[$$-409]#,##0.00"/>
    </dxf>
    <dxf>
      <numFmt numFmtId="168" formatCode="[$$-409]#,##0"/>
    </dxf>
    <dxf>
      <numFmt numFmtId="3" formatCode="#,##0"/>
    </dxf>
    <dxf>
      <numFmt numFmtId="3" formatCode="#,##0"/>
    </dxf>
    <dxf>
      <numFmt numFmtId="167" formatCode="[$$-409]#,##0.00"/>
    </dxf>
    <dxf>
      <numFmt numFmtId="168" formatCode="[$$-409]#,##0"/>
    </dxf>
    <dxf>
      <numFmt numFmtId="167" formatCode="[$$-409]#,##0.00"/>
    </dxf>
    <dxf>
      <numFmt numFmtId="168" formatCode="[$$-409]#,##0"/>
    </dxf>
    <dxf>
      <numFmt numFmtId="3" formatCode="#,##0"/>
    </dxf>
    <dxf>
      <numFmt numFmtId="3" formatCode="#,##0"/>
    </dxf>
    <dxf>
      <numFmt numFmtId="167" formatCode="[$$-409]#,##0.00"/>
    </dxf>
    <dxf>
      <numFmt numFmtId="168" formatCode="[$$-409]#,##0"/>
    </dxf>
    <dxf>
      <numFmt numFmtId="167" formatCode="[$$-409]#,##0.00"/>
    </dxf>
    <dxf>
      <numFmt numFmtId="168" formatCode="[$$-409]#,##0"/>
    </dxf>
    <dxf>
      <numFmt numFmtId="3" formatCode="#,##0"/>
    </dxf>
    <dxf>
      <numFmt numFmtId="3" formatCode="#,##0"/>
    </dxf>
    <dxf>
      <numFmt numFmtId="167" formatCode="[$$-409]#,##0.00"/>
    </dxf>
    <dxf>
      <numFmt numFmtId="168" formatCode="[$$-409]#,##0"/>
    </dxf>
    <dxf>
      <numFmt numFmtId="167" formatCode="[$$-409]#,##0.00"/>
    </dxf>
    <dxf>
      <numFmt numFmtId="168" formatCode="[$$-409]#,##0"/>
    </dxf>
    <dxf>
      <numFmt numFmtId="3" formatCode="#,##0"/>
    </dxf>
    <dxf>
      <numFmt numFmtId="3" formatCode="#,##0"/>
    </dxf>
    <dxf>
      <numFmt numFmtId="167" formatCode="[$$-409]#,##0.00"/>
    </dxf>
    <dxf>
      <numFmt numFmtId="168" formatCode="[$$-409]#,##0"/>
    </dxf>
    <dxf>
      <numFmt numFmtId="167" formatCode="[$$-409]#,##0.00"/>
    </dxf>
    <dxf>
      <numFmt numFmtId="168" formatCode="[$$-409]#,##0"/>
    </dxf>
    <dxf>
      <numFmt numFmtId="3" formatCode="#,##0"/>
    </dxf>
    <dxf>
      <numFmt numFmtId="3" formatCode="#,##0"/>
    </dxf>
    <dxf>
      <numFmt numFmtId="167" formatCode="[$$-409]#,##0.00"/>
    </dxf>
    <dxf>
      <numFmt numFmtId="168" formatCode="[$$-409]#,##0"/>
    </dxf>
    <dxf>
      <numFmt numFmtId="167" formatCode="[$$-409]#,##0.00"/>
    </dxf>
    <dxf>
      <numFmt numFmtId="168" formatCode="[$$-409]#,##0"/>
    </dxf>
    <dxf>
      <numFmt numFmtId="3" formatCode="#,##0"/>
    </dxf>
    <dxf>
      <numFmt numFmtId="3" formatCode="#,##0"/>
    </dxf>
    <dxf>
      <numFmt numFmtId="167" formatCode="[$$-409]#,##0.00"/>
    </dxf>
    <dxf>
      <numFmt numFmtId="168" formatCode="[$$-409]#,##0"/>
    </dxf>
    <dxf>
      <numFmt numFmtId="167" formatCode="[$$-409]#,##0.00"/>
    </dxf>
    <dxf>
      <numFmt numFmtId="168" formatCode="[$$-409]#,##0"/>
    </dxf>
    <dxf>
      <numFmt numFmtId="3" formatCode="#,##0"/>
    </dxf>
    <dxf>
      <numFmt numFmtId="3" formatCode="#,##0"/>
    </dxf>
    <dxf>
      <numFmt numFmtId="167" formatCode="[$$-409]#,##0.00"/>
    </dxf>
    <dxf>
      <numFmt numFmtId="168" formatCode="[$$-409]#,##0"/>
    </dxf>
    <dxf>
      <numFmt numFmtId="167" formatCode="[$$-409]#,##0.00"/>
    </dxf>
    <dxf>
      <numFmt numFmtId="168" formatCode="[$$-409]#,##0"/>
    </dxf>
    <dxf>
      <numFmt numFmtId="3" formatCode="#,##0"/>
    </dxf>
    <dxf>
      <numFmt numFmtId="3" formatCode="#,##0"/>
    </dxf>
    <dxf>
      <numFmt numFmtId="167" formatCode="[$$-409]#,##0.00"/>
    </dxf>
    <dxf>
      <numFmt numFmtId="168" formatCode="[$$-409]#,##0"/>
    </dxf>
    <dxf>
      <numFmt numFmtId="167" formatCode="[$$-409]#,##0.00"/>
    </dxf>
    <dxf>
      <numFmt numFmtId="168" formatCode="[$$-409]#,##0"/>
    </dxf>
    <dxf>
      <numFmt numFmtId="3" formatCode="#,##0"/>
    </dxf>
    <dxf>
      <numFmt numFmtId="3" formatCode="#,##0"/>
    </dxf>
    <dxf>
      <numFmt numFmtId="167" formatCode="[$$-409]#,##0.00"/>
    </dxf>
    <dxf>
      <numFmt numFmtId="168" formatCode="[$$-409]#,##0"/>
    </dxf>
    <dxf>
      <numFmt numFmtId="167" formatCode="[$$-409]#,##0.00"/>
    </dxf>
    <dxf>
      <numFmt numFmtId="168" formatCode="[$$-409]#,##0"/>
    </dxf>
    <dxf>
      <numFmt numFmtId="3" formatCode="#,##0"/>
    </dxf>
    <dxf>
      <numFmt numFmtId="3" formatCode="#,##0"/>
    </dxf>
    <dxf>
      <numFmt numFmtId="167" formatCode="[$$-409]#,##0.00"/>
    </dxf>
    <dxf>
      <numFmt numFmtId="168" formatCode="[$$-409]#,##0"/>
    </dxf>
    <dxf>
      <numFmt numFmtId="167" formatCode="[$$-409]#,##0.00"/>
    </dxf>
    <dxf>
      <numFmt numFmtId="168" formatCode="[$$-409]#,##0"/>
    </dxf>
    <dxf>
      <numFmt numFmtId="3" formatCode="#,##0"/>
    </dxf>
    <dxf>
      <numFmt numFmtId="3" formatCode="#,##0"/>
    </dxf>
    <dxf>
      <numFmt numFmtId="167" formatCode="[$$-409]#,##0.00"/>
    </dxf>
    <dxf>
      <numFmt numFmtId="168" formatCode="[$$-409]#,##0"/>
    </dxf>
    <dxf>
      <numFmt numFmtId="167" formatCode="[$$-409]#,##0.00"/>
    </dxf>
    <dxf>
      <numFmt numFmtId="167" formatCode="[$$-409]#,##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409]#,##0"/>
    </dxf>
    <dxf>
      <numFmt numFmtId="167" formatCode="[$$-409]#,##0.00"/>
    </dxf>
    <dxf>
      <numFmt numFmtId="168" formatCode="[$$-409]#,##0"/>
    </dxf>
    <dxf>
      <numFmt numFmtId="167" formatCode="[$$-409]#,##0.00"/>
    </dxf>
    <dxf>
      <numFmt numFmtId="3" formatCode="#,##0"/>
    </dxf>
    <dxf>
      <numFmt numFmtId="3" formatCode="#,##0"/>
    </dxf>
    <dxf>
      <font>
        <b/>
        <i val="0"/>
        <sz val="10"/>
        <color theme="0"/>
        <name val="Calibri"/>
        <family val="2"/>
        <scheme val="minor"/>
      </font>
      <border diagonalUp="0" diagonalDown="0">
        <left/>
        <right/>
        <top/>
        <bottom/>
        <vertical/>
        <horizontal/>
      </border>
    </dxf>
    <dxf>
      <font>
        <b val="0"/>
        <i val="0"/>
        <sz val="10"/>
        <color theme="0"/>
        <name val="Calibri"/>
        <family val="2"/>
        <scheme val="minor"/>
      </font>
      <fill>
        <patternFill>
          <bgColor rgb="FF3C1464"/>
        </patternFill>
      </fill>
      <border>
        <left style="thin">
          <color auto="1"/>
        </left>
        <right style="thin">
          <color auto="1"/>
        </right>
        <top style="thin">
          <color auto="1"/>
        </top>
        <bottom style="thin">
          <color auto="1"/>
        </bottom>
      </border>
    </dxf>
    <dxf>
      <font>
        <b/>
        <i val="0"/>
        <sz val="11"/>
        <color theme="0"/>
        <name val="Calibri"/>
        <family val="2"/>
        <scheme val="minor"/>
      </font>
    </dxf>
    <dxf>
      <font>
        <b val="0"/>
        <i val="0"/>
        <sz val="11"/>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Medium9">
    <tableStyle name=" " pivot="0" table="0" count="8" xr9:uid="{44F0C314-BCE6-4EAF-B213-E75BA6F956E2}">
      <tableStyleElement type="wholeTable" dxfId="104"/>
      <tableStyleElement type="headerRow" dxfId="103"/>
    </tableStyle>
    <tableStyle name="Purple Slicer Style" pivot="0" table="0" count="7" xr9:uid="{88158DAA-0708-4D5C-9DB7-2554CD3DC554}">
      <tableStyleElement type="wholeTable" dxfId="102"/>
      <tableStyleElement type="headerRow" dxfId="101"/>
    </tableStyle>
  </tableStyles>
  <colors>
    <mruColors>
      <color rgb="FF3C1464"/>
      <color rgb="FF3A9117"/>
      <color rgb="FF4EA020"/>
      <color rgb="FFBDEFAB"/>
      <color rgb="FF67E24A"/>
      <color rgb="FF02983B"/>
      <color rgb="FF02A639"/>
      <color rgb="FF069016"/>
      <color rgb="FF006C31"/>
      <color rgb="FFA5F5B2"/>
    </mruColors>
  </colors>
  <extLst>
    <ext xmlns:x14="http://schemas.microsoft.com/office/spreadsheetml/2009/9/main" uri="{46F421CA-312F-682f-3DD2-61675219B42D}">
      <x14:dxfs count="5">
        <dxf>
          <font>
            <strike/>
          </font>
          <border diagonalUp="0" diagonalDown="0">
            <left/>
            <right/>
            <top/>
            <bottom/>
            <vertical/>
            <horizontal/>
          </border>
        </dxf>
        <dxf>
          <font>
            <b/>
            <i val="0"/>
            <color theme="0"/>
            <name val="Calibri"/>
            <family val="2"/>
            <scheme val="minor"/>
          </font>
          <border diagonalUp="0" diagonalDown="0">
            <left/>
            <right/>
            <top/>
            <bottom/>
            <vertical/>
            <horizontal/>
          </border>
        </dxf>
        <dxf>
          <font>
            <b/>
            <i val="0"/>
            <strike val="0"/>
            <sz val="10"/>
            <color theme="0"/>
            <name val="Calibri"/>
            <family val="2"/>
            <scheme val="minor"/>
          </font>
          <border diagonalUp="0" diagonalDown="0">
            <left style="thin">
              <color theme="0"/>
            </left>
            <right style="thin">
              <color theme="0"/>
            </right>
            <top style="thin">
              <color theme="0"/>
            </top>
            <bottom style="thin">
              <color theme="0"/>
            </bottom>
            <vertical/>
            <horizontal/>
          </border>
        </dxf>
        <dxf>
          <font>
            <b val="0"/>
            <i val="0"/>
            <strike/>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diagonalUp="0" diagonalDown="0">
            <left style="thin">
              <color theme="0"/>
            </left>
            <right style="thin">
              <color theme="0"/>
            </right>
            <top style="thin">
              <color theme="0"/>
            </top>
            <bottom style="thin">
              <color theme="0"/>
            </bottom>
            <vertical/>
            <horizontal/>
          </border>
        </dxf>
      </x14:dxfs>
    </ext>
    <ext xmlns:x14="http://schemas.microsoft.com/office/spreadsheetml/2009/9/main" uri="{EB79DEF2-80B8-43e5-95BD-54CBDDF9020C}">
      <x14:slicerStyles defaultSlicerStyle="Purple Slicer Style">
        <x14:slicerStyle name="Purple Slicer Style">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C77DF"/>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 ">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BDC-4239-958F-E41D997D736B}"/>
            </c:ext>
          </c:extLst>
        </c:ser>
        <c:ser>
          <c:idx val="1"/>
          <c:order val="1"/>
          <c:tx>
            <c:strRef>
              <c:f>TotalSales!$D$3:$D$4</c:f>
              <c:strCache>
                <c:ptCount val="1"/>
                <c:pt idx="0">
                  <c:v>Excelsa</c:v>
                </c:pt>
              </c:strCache>
            </c:strRef>
          </c:tx>
          <c:spPr>
            <a:ln w="28575" cap="rnd">
              <a:solidFill>
                <a:schemeClr val="accent2">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6-BBDC-4239-958F-E41D997D736B}"/>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BBDC-4239-958F-E41D997D736B}"/>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1-C0AA-4D7D-9B67-A88575E1282E}"/>
            </c:ext>
          </c:extLst>
        </c:ser>
        <c:dLbls>
          <c:showLegendKey val="0"/>
          <c:showVal val="0"/>
          <c:showCatName val="0"/>
          <c:showSerName val="0"/>
          <c:showPercent val="0"/>
          <c:showBubbleSize val="0"/>
        </c:dLbls>
        <c:smooth val="0"/>
        <c:axId val="1844878191"/>
        <c:axId val="2103329215"/>
      </c:lineChart>
      <c:catAx>
        <c:axId val="184487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03329215"/>
        <c:crosses val="autoZero"/>
        <c:auto val="1"/>
        <c:lblAlgn val="ctr"/>
        <c:lblOffset val="100"/>
        <c:noMultiLvlLbl val="0"/>
      </c:catAx>
      <c:valAx>
        <c:axId val="2103329215"/>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4487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Sales!TotalSales</c:name>
    <c:fmtId val="3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9117"/>
          </a:solidFill>
          <a:ln w="9525">
            <a:solidFill>
              <a:schemeClr val="bg1"/>
            </a:solidFill>
          </a:ln>
          <a:effectLst/>
        </c:spPr>
      </c:pivotFmt>
      <c:pivotFmt>
        <c:idx val="2"/>
        <c:spPr>
          <a:solidFill>
            <a:srgbClr val="67E24A"/>
          </a:solidFill>
          <a:ln w="9525">
            <a:solidFill>
              <a:schemeClr val="bg1"/>
            </a:solidFill>
          </a:ln>
          <a:effectLst/>
        </c:spPr>
      </c:pivotFmt>
      <c:pivotFmt>
        <c:idx val="3"/>
        <c:spPr>
          <a:solidFill>
            <a:srgbClr val="BDEFAB"/>
          </a:solidFill>
          <a:ln w="9525">
            <a:solidFill>
              <a:schemeClr val="bg1"/>
            </a:solidFill>
          </a:ln>
          <a:effectLst/>
        </c:spPr>
      </c:pivotFmt>
      <c:pivotFmt>
        <c:idx val="4"/>
        <c:spPr>
          <a:solidFill>
            <a:schemeClr val="accent1"/>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DEFAB"/>
          </a:solidFill>
          <a:ln w="9525">
            <a:solidFill>
              <a:schemeClr val="bg1"/>
            </a:solidFill>
          </a:ln>
          <a:effectLst/>
        </c:spPr>
      </c:pivotFmt>
      <c:pivotFmt>
        <c:idx val="6"/>
        <c:spPr>
          <a:solidFill>
            <a:srgbClr val="67E24A"/>
          </a:solidFill>
          <a:ln w="9525">
            <a:solidFill>
              <a:schemeClr val="bg1"/>
            </a:solidFill>
          </a:ln>
          <a:effectLst/>
        </c:spPr>
      </c:pivotFmt>
      <c:pivotFmt>
        <c:idx val="7"/>
        <c:spPr>
          <a:solidFill>
            <a:srgbClr val="3A9117"/>
          </a:solidFill>
          <a:ln w="9525">
            <a:solidFill>
              <a:schemeClr val="bg1"/>
            </a:solidFill>
          </a:ln>
          <a:effectLst/>
        </c:spPr>
      </c:pivotFmt>
      <c:pivotFmt>
        <c:idx val="8"/>
        <c:spPr>
          <a:solidFill>
            <a:schemeClr val="accent1"/>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DEFAB"/>
          </a:solidFill>
          <a:ln w="9525">
            <a:solidFill>
              <a:schemeClr val="bg1"/>
            </a:solidFill>
          </a:ln>
          <a:effectLst/>
        </c:spPr>
      </c:pivotFmt>
      <c:pivotFmt>
        <c:idx val="10"/>
        <c:spPr>
          <a:solidFill>
            <a:srgbClr val="67E24A"/>
          </a:solidFill>
          <a:ln w="9525">
            <a:solidFill>
              <a:schemeClr val="bg1"/>
            </a:solidFill>
          </a:ln>
          <a:effectLst/>
        </c:spPr>
      </c:pivotFmt>
      <c:pivotFmt>
        <c:idx val="11"/>
        <c:spPr>
          <a:solidFill>
            <a:srgbClr val="3A9117"/>
          </a:solidFill>
          <a:ln w="9525">
            <a:solidFill>
              <a:schemeClr val="bg1"/>
            </a:solidFill>
          </a:ln>
          <a:effectLst/>
        </c:spPr>
      </c:pivotFmt>
    </c:pivotFmts>
    <c:plotArea>
      <c:layout/>
      <c:barChart>
        <c:barDir val="bar"/>
        <c:grouping val="clustered"/>
        <c:varyColors val="0"/>
        <c:ser>
          <c:idx val="0"/>
          <c:order val="0"/>
          <c:tx>
            <c:strRef>
              <c:f>'Country Sales'!$B$3</c:f>
              <c:strCache>
                <c:ptCount val="1"/>
                <c:pt idx="0">
                  <c:v>Total</c:v>
                </c:pt>
              </c:strCache>
            </c:strRef>
          </c:tx>
          <c:spPr>
            <a:solidFill>
              <a:schemeClr val="accent1"/>
            </a:solidFill>
            <a:ln w="9525">
              <a:solidFill>
                <a:schemeClr val="bg1"/>
              </a:solidFill>
            </a:ln>
            <a:effectLst/>
          </c:spPr>
          <c:invertIfNegative val="0"/>
          <c:dPt>
            <c:idx val="0"/>
            <c:invertIfNegative val="0"/>
            <c:bubble3D val="0"/>
            <c:spPr>
              <a:solidFill>
                <a:srgbClr val="BDEFAB"/>
              </a:solidFill>
              <a:ln w="9525">
                <a:solidFill>
                  <a:schemeClr val="bg1"/>
                </a:solidFill>
              </a:ln>
              <a:effectLst/>
            </c:spPr>
            <c:extLst>
              <c:ext xmlns:c16="http://schemas.microsoft.com/office/drawing/2014/chart" uri="{C3380CC4-5D6E-409C-BE32-E72D297353CC}">
                <c16:uniqueId val="{00000001-DC6A-48D7-B868-22565F9D0604}"/>
              </c:ext>
            </c:extLst>
          </c:dPt>
          <c:dPt>
            <c:idx val="1"/>
            <c:invertIfNegative val="0"/>
            <c:bubble3D val="0"/>
            <c:spPr>
              <a:solidFill>
                <a:srgbClr val="67E24A"/>
              </a:solidFill>
              <a:ln w="9525">
                <a:solidFill>
                  <a:schemeClr val="bg1"/>
                </a:solidFill>
              </a:ln>
              <a:effectLst/>
            </c:spPr>
            <c:extLst>
              <c:ext xmlns:c16="http://schemas.microsoft.com/office/drawing/2014/chart" uri="{C3380CC4-5D6E-409C-BE32-E72D297353CC}">
                <c16:uniqueId val="{00000003-DC6A-48D7-B868-22565F9D0604}"/>
              </c:ext>
            </c:extLst>
          </c:dPt>
          <c:dPt>
            <c:idx val="2"/>
            <c:invertIfNegative val="0"/>
            <c:bubble3D val="0"/>
            <c:spPr>
              <a:solidFill>
                <a:srgbClr val="3A9117"/>
              </a:solidFill>
              <a:ln w="9525">
                <a:solidFill>
                  <a:schemeClr val="bg1"/>
                </a:solidFill>
              </a:ln>
              <a:effectLst/>
            </c:spPr>
            <c:extLst>
              <c:ext xmlns:c16="http://schemas.microsoft.com/office/drawing/2014/chart" uri="{C3380CC4-5D6E-409C-BE32-E72D297353CC}">
                <c16:uniqueId val="{00000005-DC6A-48D7-B868-22565F9D06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Sales'!$A$4:$A$6</c:f>
              <c:strCache>
                <c:ptCount val="3"/>
                <c:pt idx="0">
                  <c:v>United Kingdom</c:v>
                </c:pt>
                <c:pt idx="1">
                  <c:v>Ireland</c:v>
                </c:pt>
                <c:pt idx="2">
                  <c:v>United States</c:v>
                </c:pt>
              </c:strCache>
            </c:strRef>
          </c:cat>
          <c:val>
            <c:numRef>
              <c:f>'Country Sales'!$B$4:$B$6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DC6A-48D7-B868-22565F9D0604}"/>
            </c:ext>
          </c:extLst>
        </c:ser>
        <c:dLbls>
          <c:dLblPos val="outEnd"/>
          <c:showLegendKey val="0"/>
          <c:showVal val="1"/>
          <c:showCatName val="0"/>
          <c:showSerName val="0"/>
          <c:showPercent val="0"/>
          <c:showBubbleSize val="0"/>
        </c:dLbls>
        <c:gapWidth val="182"/>
        <c:axId val="992216559"/>
        <c:axId val="992217519"/>
      </c:barChart>
      <c:catAx>
        <c:axId val="992216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92217519"/>
        <c:crosses val="autoZero"/>
        <c:auto val="1"/>
        <c:lblAlgn val="ctr"/>
        <c:lblOffset val="100"/>
        <c:noMultiLvlLbl val="0"/>
      </c:catAx>
      <c:valAx>
        <c:axId val="992217519"/>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99221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Customers!TotalSales</c:name>
    <c:fmtId val="47"/>
  </c:pivotSource>
  <c:chart>
    <c:title>
      <c:tx>
        <c:rich>
          <a:bodyPr rot="0" spcFirstLastPara="1" vertOverflow="ellipsis" vert="horz" wrap="square" anchor="ctr" anchorCtr="1"/>
          <a:lstStyle/>
          <a:p>
            <a:pPr>
              <a:defRPr lang="en-US" sz="12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3A9117"/>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9117"/>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9117"/>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Customers'!$B$3</c:f>
              <c:strCache>
                <c:ptCount val="1"/>
                <c:pt idx="0">
                  <c:v>Total</c:v>
                </c:pt>
              </c:strCache>
            </c:strRef>
          </c:tx>
          <c:spPr>
            <a:solidFill>
              <a:srgbClr val="3A9117"/>
            </a:solidFill>
            <a:ln>
              <a:solidFill>
                <a:schemeClr val="bg1"/>
              </a:solid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Customers'!$A$4:$A$8</c:f>
              <c:strCache>
                <c:ptCount val="5"/>
                <c:pt idx="0">
                  <c:v>Don Flintiff</c:v>
                </c:pt>
                <c:pt idx="1">
                  <c:v>Nealson Cuttler</c:v>
                </c:pt>
                <c:pt idx="2">
                  <c:v>Terri Farra</c:v>
                </c:pt>
                <c:pt idx="3">
                  <c:v>Brenn Dundredge</c:v>
                </c:pt>
                <c:pt idx="4">
                  <c:v>Allis Wilmore</c:v>
                </c:pt>
              </c:strCache>
            </c:strRef>
          </c:cat>
          <c:val>
            <c:numRef>
              <c:f>'Top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E823-48FA-8001-4CBDC7AF1906}"/>
            </c:ext>
          </c:extLst>
        </c:ser>
        <c:dLbls>
          <c:dLblPos val="outEnd"/>
          <c:showLegendKey val="0"/>
          <c:showVal val="1"/>
          <c:showCatName val="0"/>
          <c:showSerName val="0"/>
          <c:showPercent val="0"/>
          <c:showBubbleSize val="0"/>
        </c:dLbls>
        <c:gapWidth val="182"/>
        <c:axId val="1638986863"/>
        <c:axId val="1638988783"/>
      </c:barChart>
      <c:catAx>
        <c:axId val="1638986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crossAx val="1638988783"/>
        <c:crosses val="autoZero"/>
        <c:auto val="1"/>
        <c:lblAlgn val="ctr"/>
        <c:lblOffset val="100"/>
        <c:noMultiLvlLbl val="0"/>
      </c:catAx>
      <c:valAx>
        <c:axId val="1638988783"/>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crossAx val="163898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lang="en-US" sz="1000" b="0" i="0" u="none" strike="noStrike" kern="1200" baseline="0">
          <a:solidFill>
            <a:srgbClr val="3C146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2240</xdr:colOff>
      <xdr:row>1</xdr:row>
      <xdr:rowOff>0</xdr:rowOff>
    </xdr:from>
    <xdr:to>
      <xdr:col>25</xdr:col>
      <xdr:colOff>581025</xdr:colOff>
      <xdr:row>5</xdr:row>
      <xdr:rowOff>0</xdr:rowOff>
    </xdr:to>
    <xdr:sp macro="" textlink="">
      <xdr:nvSpPr>
        <xdr:cNvPr id="2" name="Rectangle 1">
          <a:extLst>
            <a:ext uri="{FF2B5EF4-FFF2-40B4-BE49-F238E27FC236}">
              <a16:creationId xmlns:a16="http://schemas.microsoft.com/office/drawing/2014/main" id="{4F024622-755C-E25D-ECB2-B2812279E833}"/>
            </a:ext>
          </a:extLst>
        </xdr:cNvPr>
        <xdr:cNvSpPr/>
      </xdr:nvSpPr>
      <xdr:spPr>
        <a:xfrm>
          <a:off x="114299" y="56029"/>
          <a:ext cx="15101608"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b="0">
              <a:solidFill>
                <a:schemeClr val="bg1"/>
              </a:solidFill>
            </a:rPr>
            <a:t>COFFEE</a:t>
          </a:r>
          <a:r>
            <a:rPr lang="en-IN" sz="4800" b="0" baseline="0">
              <a:solidFill>
                <a:schemeClr val="bg1"/>
              </a:solidFill>
            </a:rPr>
            <a:t> SALES DASBOARD</a:t>
          </a:r>
          <a:endParaRPr lang="en-IN" sz="4800" b="0">
            <a:solidFill>
              <a:schemeClr val="bg1"/>
            </a:solidFill>
          </a:endParaRPr>
        </a:p>
      </xdr:txBody>
    </xdr:sp>
    <xdr:clientData/>
  </xdr:twoCellAnchor>
  <xdr:twoCellAnchor>
    <xdr:from>
      <xdr:col>0</xdr:col>
      <xdr:colOff>67235</xdr:colOff>
      <xdr:row>14</xdr:row>
      <xdr:rowOff>112059</xdr:rowOff>
    </xdr:from>
    <xdr:to>
      <xdr:col>16</xdr:col>
      <xdr:colOff>235323</xdr:colOff>
      <xdr:row>43</xdr:row>
      <xdr:rowOff>100852</xdr:rowOff>
    </xdr:to>
    <xdr:graphicFrame macro="">
      <xdr:nvGraphicFramePr>
        <xdr:cNvPr id="3" name="Chart 2">
          <a:extLst>
            <a:ext uri="{FF2B5EF4-FFF2-40B4-BE49-F238E27FC236}">
              <a16:creationId xmlns:a16="http://schemas.microsoft.com/office/drawing/2014/main" id="{E698590B-28CA-472D-A826-1EE20AA74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112058</xdr:colOff>
      <xdr:row>5</xdr:row>
      <xdr:rowOff>44824</xdr:rowOff>
    </xdr:from>
    <xdr:to>
      <xdr:col>18</xdr:col>
      <xdr:colOff>336176</xdr:colOff>
      <xdr:row>14</xdr:row>
      <xdr:rowOff>9525</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695591BB-B065-4634-8F38-88491EBD022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2058" y="862853"/>
              <a:ext cx="10623177" cy="16792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448235</xdr:colOff>
      <xdr:row>9</xdr:row>
      <xdr:rowOff>22412</xdr:rowOff>
    </xdr:from>
    <xdr:to>
      <xdr:col>23</xdr:col>
      <xdr:colOff>123265</xdr:colOff>
      <xdr:row>14</xdr:row>
      <xdr:rowOff>22412</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BDA55AFB-9374-46CF-8DE9-64F5893E06D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847294" y="1602441"/>
              <a:ext cx="2700618"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425824</xdr:colOff>
      <xdr:row>5</xdr:row>
      <xdr:rowOff>89648</xdr:rowOff>
    </xdr:from>
    <xdr:to>
      <xdr:col>26</xdr:col>
      <xdr:colOff>0</xdr:colOff>
      <xdr:row>8</xdr:row>
      <xdr:rowOff>156883</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31EC5CED-DA83-4432-86DD-756D75596213}"/>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824883" y="907677"/>
              <a:ext cx="4415117" cy="638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235324</xdr:colOff>
      <xdr:row>9</xdr:row>
      <xdr:rowOff>20730</xdr:rowOff>
    </xdr:from>
    <xdr:to>
      <xdr:col>26</xdr:col>
      <xdr:colOff>0</xdr:colOff>
      <xdr:row>14</xdr:row>
      <xdr:rowOff>11205</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2253170D-577F-42F7-8A17-3091F0FF84F5}"/>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659971" y="1600759"/>
              <a:ext cx="1580029" cy="94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347382</xdr:colOff>
      <xdr:row>14</xdr:row>
      <xdr:rowOff>145678</xdr:rowOff>
    </xdr:from>
    <xdr:to>
      <xdr:col>26</xdr:col>
      <xdr:colOff>0</xdr:colOff>
      <xdr:row>28</xdr:row>
      <xdr:rowOff>168088</xdr:rowOff>
    </xdr:to>
    <xdr:graphicFrame macro="">
      <xdr:nvGraphicFramePr>
        <xdr:cNvPr id="8" name="Chart 7">
          <a:extLst>
            <a:ext uri="{FF2B5EF4-FFF2-40B4-BE49-F238E27FC236}">
              <a16:creationId xmlns:a16="http://schemas.microsoft.com/office/drawing/2014/main" id="{197C810F-B962-4B16-9D43-3A6F4CD1E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347381</xdr:colOff>
      <xdr:row>29</xdr:row>
      <xdr:rowOff>78441</xdr:rowOff>
    </xdr:from>
    <xdr:to>
      <xdr:col>26</xdr:col>
      <xdr:colOff>54428</xdr:colOff>
      <xdr:row>43</xdr:row>
      <xdr:rowOff>68035</xdr:rowOff>
    </xdr:to>
    <xdr:graphicFrame macro="">
      <xdr:nvGraphicFramePr>
        <xdr:cNvPr id="9" name="Chart 8">
          <a:extLst>
            <a:ext uri="{FF2B5EF4-FFF2-40B4-BE49-F238E27FC236}">
              <a16:creationId xmlns:a16="http://schemas.microsoft.com/office/drawing/2014/main" id="{5798501E-9A0A-4A27-A69E-DDBB00AF2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lcome" refreshedDate="45959.512818055555" createdVersion="8" refreshedVersion="8" minRefreshableVersion="3" recordCount="1000" xr:uid="{76F19C8F-17C5-4113-9F3A-43D7DA7FFAD7}">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8470175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F77473-D86A-46EC-8D5F-3355A23F1E24}"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
  </dataFields>
  <chartFormats count="5">
    <chartFormat chart="9" format="13" series="1">
      <pivotArea type="data" outline="0" fieldPosition="0">
        <references count="2">
          <reference field="4294967294" count="1" selected="0">
            <x v="0"/>
          </reference>
          <reference field="13" count="1" selected="0">
            <x v="0"/>
          </reference>
        </references>
      </pivotArea>
    </chartFormat>
    <chartFormat chart="9" format="14" series="1">
      <pivotArea type="data" outline="0" fieldPosition="0">
        <references count="2">
          <reference field="4294967294" count="1" selected="0">
            <x v="0"/>
          </reference>
          <reference field="13" count="1" selected="0">
            <x v="1"/>
          </reference>
        </references>
      </pivotArea>
    </chartFormat>
    <chartFormat chart="9" format="15" series="1">
      <pivotArea type="data" outline="0" fieldPosition="0">
        <references count="2">
          <reference field="4294967294" count="1" selected="0">
            <x v="0"/>
          </reference>
          <reference field="13" count="1" selected="0">
            <x v="2"/>
          </reference>
        </references>
      </pivotArea>
    </chartFormat>
    <chartFormat chart="9" format="16" series="1">
      <pivotArea type="data" outline="0" fieldPosition="0">
        <references count="2">
          <reference field="4294967294" count="1" selected="0">
            <x v="0"/>
          </reference>
          <reference field="13" count="1" selected="0">
            <x v="3"/>
          </reference>
        </references>
      </pivotArea>
    </chartFormat>
    <chartFormat chart="9" format="1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625CD2-B3CF-40FF-B124-DEB448A0ED1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7">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formats count="4">
    <format dxfId="100">
      <pivotArea outline="0" fieldPosition="0">
        <references count="1">
          <reference field="7" count="1" selected="0">
            <x v="1"/>
          </reference>
        </references>
      </pivotArea>
    </format>
    <format dxfId="99">
      <pivotArea outline="0" fieldPosition="0">
        <references count="1">
          <reference field="7" count="2" selected="0">
            <x v="0"/>
            <x v="2"/>
          </reference>
        </references>
      </pivotArea>
    </format>
    <format dxfId="98">
      <pivotArea outline="0" fieldPosition="0">
        <references count="1">
          <reference field="4294967294" count="1">
            <x v="0"/>
          </reference>
        </references>
      </pivotArea>
    </format>
    <format dxfId="97">
      <pivotArea outline="0" collapsedLevelsAreSubtotals="1" fieldPosition="0"/>
    </format>
  </formats>
  <chartFormats count="4">
    <chartFormat chart="36" format="8" series="1">
      <pivotArea type="data" outline="0" fieldPosition="0">
        <references count="1">
          <reference field="4294967294" count="1" selected="0">
            <x v="0"/>
          </reference>
        </references>
      </pivotArea>
    </chartFormat>
    <chartFormat chart="36" format="9">
      <pivotArea type="data" outline="0" fieldPosition="0">
        <references count="2">
          <reference field="4294967294" count="1" selected="0">
            <x v="0"/>
          </reference>
          <reference field="7" count="1" selected="0">
            <x v="1"/>
          </reference>
        </references>
      </pivotArea>
    </chartFormat>
    <chartFormat chart="36" format="10">
      <pivotArea type="data" outline="0" fieldPosition="0">
        <references count="2">
          <reference field="4294967294" count="1" selected="0">
            <x v="0"/>
          </reference>
          <reference field="7" count="1" selected="0">
            <x v="0"/>
          </reference>
        </references>
      </pivotArea>
    </chartFormat>
    <chartFormat chart="36"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71D53C-79D2-4AA6-94A8-7879E893370F}"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8">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8"/>
  </dataFields>
  <formats count="2">
    <format dxfId="96">
      <pivotArea outline="0" fieldPosition="0">
        <references count="1">
          <reference field="4294967294" count="1">
            <x v="0"/>
          </reference>
        </references>
      </pivotArea>
    </format>
    <format dxfId="95">
      <pivotArea outline="0" collapsedLevelsAreSubtotals="1" fieldPosition="0"/>
    </format>
  </formats>
  <chartFormats count="4">
    <chartFormat chart="8" format="15"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46" format="1"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364A228-41C0-4D4B-8871-0EF2280F09E9}" sourceName="Size">
  <pivotTables>
    <pivotTable tabId="19" name="TotalSales"/>
    <pivotTable tabId="20" name="TotalSales"/>
    <pivotTable tabId="23" name="TotalSales"/>
  </pivotTables>
  <data>
    <tabular pivotCacheId="84701754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C0CD67C-9AF8-4456-A96A-3643E1AC7BED}" sourceName="Roast Type Name">
  <pivotTables>
    <pivotTable tabId="19" name="TotalSales"/>
    <pivotTable tabId="20" name="TotalSales"/>
    <pivotTable tabId="23" name="TotalSales"/>
  </pivotTables>
  <data>
    <tabular pivotCacheId="84701754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80F832D-D873-4178-8ED5-B98F0D1A0290}" sourceName="Loyalty Card">
  <pivotTables>
    <pivotTable tabId="19" name="TotalSales"/>
    <pivotTable tabId="20" name="TotalSales"/>
    <pivotTable tabId="23" name="TotalSales"/>
  </pivotTables>
  <data>
    <tabular pivotCacheId="84701754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7F7DC2FD-B029-455F-926C-2BFD4407086E}" cache="Slicer_Size" caption="Size" columnCount="2" rowHeight="241300"/>
  <slicer name="Roast Type Name" xr10:uid="{4FE613F4-CF88-40C8-8B06-89C24BAECF8A}" cache="Slicer_Roast_Type_Name" caption="Roast Type Name" columnCount="3" rowHeight="241300"/>
  <slicer name="Loyalty Card" xr10:uid="{7D568E0F-D6EF-4370-A21D-73AEFBA4CA67}"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435471-BF7B-45AE-A692-2704E2DE3D33}" name="Orders" displayName="Orders" ref="A1:P1001" totalsRowShown="0" headerRowDxfId="94">
  <autoFilter ref="A1:P1001" xr:uid="{56435471-BF7B-45AE-A692-2704E2DE3D33}"/>
  <tableColumns count="16">
    <tableColumn id="1" xr3:uid="{6D89D52F-2ECC-414E-AF48-5BD0723CDC16}" name="Order ID" dataDxfId="93"/>
    <tableColumn id="2" xr3:uid="{79C99E40-2F58-4850-B536-A957899DAE25}" name="Order Date" dataDxfId="92"/>
    <tableColumn id="3" xr3:uid="{625D4D0B-78EE-40FD-943E-D4AA632DC350}" name="Customer ID" dataDxfId="91"/>
    <tableColumn id="4" xr3:uid="{976CCCA4-4F56-4F5C-9D4D-2823D51922E7}" name="Product ID"/>
    <tableColumn id="5" xr3:uid="{E09396E4-A9E6-45D6-BCE9-8DD61B93CA5F}" name="Quantity" dataDxfId="90"/>
    <tableColumn id="6" xr3:uid="{30D5E925-1BA3-446A-964F-CBB3C6BB3EC0}" name="Customer Name" dataDxfId="89">
      <calculatedColumnFormula>_xlfn.XLOOKUP(C2,customers!$A$1:$A$1001,customers!$B$1:$B$1001,,)</calculatedColumnFormula>
    </tableColumn>
    <tableColumn id="7" xr3:uid="{D89A86AC-0B75-4327-B6AE-EA65C9558AF0}" name="Email" dataDxfId="88">
      <calculatedColumnFormula>IF(_xlfn.XLOOKUP(C2,customers!$A$1:$A$1001,customers!$C$1:$C$1001,,0)=0,"",_xlfn.XLOOKUP(C2,customers!$A$1:$A$1001,customers!$C$1:$C$1001,,0))</calculatedColumnFormula>
    </tableColumn>
    <tableColumn id="8" xr3:uid="{ACD4F909-110F-4A57-8221-2189B2DDAD69}" name="Country" dataDxfId="87">
      <calculatedColumnFormula>_xlfn.XLOOKUP(C2,customers!$A$1:$A$1001,customers!$G$1:$G$1001,,0)</calculatedColumnFormula>
    </tableColumn>
    <tableColumn id="9" xr3:uid="{06CB78DE-82F3-409A-ACEB-9E5B7AB252F5}" name="Coffee Type">
      <calculatedColumnFormula>INDEX(products!$A$1:$G$49,MATCH($D2,products!$A$1:$A$49,0),MATCH(I$1,products!$A$1:$G$1,0))</calculatedColumnFormula>
    </tableColumn>
    <tableColumn id="10" xr3:uid="{5E061AD4-218E-4F22-989E-A4FC0117BB7E}" name="Roast Type">
      <calculatedColumnFormula>INDEX(products!$A$1:$G$49,MATCH($D2,products!$A$1:$A$49,0),MATCH(J$1,products!$A$1:$G$1,0))</calculatedColumnFormula>
    </tableColumn>
    <tableColumn id="11" xr3:uid="{93BCDD09-47DC-4F88-A8EF-9FD328F29F1A}" name="Size" dataDxfId="86">
      <calculatedColumnFormula>INDEX(products!$A$1:$G$49,MATCH($D2,products!$A$1:$A$49,0),MATCH(K$1,products!$A$1:$G$1,0))</calculatedColumnFormula>
    </tableColumn>
    <tableColumn id="12" xr3:uid="{74C75019-F462-4C1B-B2A1-CAA95EF70349}" name="Unit Price" dataDxfId="85">
      <calculatedColumnFormula>INDEX(products!$A$1:$G$49,MATCH($D2,products!$A$1:$A$49,0),MATCH(L$1,products!$A$1:$G$1,0))</calculatedColumnFormula>
    </tableColumn>
    <tableColumn id="13" xr3:uid="{1205F810-5262-47DF-ABBA-CBB7FD1FBDEA}" name="Sales" dataDxfId="84">
      <calculatedColumnFormula>L2*E2</calculatedColumnFormula>
    </tableColumn>
    <tableColumn id="14" xr3:uid="{55CAE3E9-FCE0-4A11-9937-17A7B445DA35}" name="Coffee Type Name">
      <calculatedColumnFormula>IF(I2="Rob","Robusta",IF(I2="Ara","Arabica",IF(I2="Exc","Excelsa",IF(I2="Lib","Liberica",""))))</calculatedColumnFormula>
    </tableColumn>
    <tableColumn id="15" xr3:uid="{B68A1AFD-D9DA-4E71-BCE5-3400B1532EF2}" name="Roast Type Name">
      <calculatedColumnFormula>IF(J2="M","Medium",IF(J2="L","Light",IF(J2="D","Dark","")))</calculatedColumnFormula>
    </tableColumn>
    <tableColumn id="16" xr3:uid="{22978758-C834-4D93-B6EC-DCB45F76E7F6}" name="Loyalty Card">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69813C5-B1C8-485A-A9EB-E261A7B95DDD}" sourceName="Order Date">
  <pivotTables>
    <pivotTable tabId="19" name="TotalSales"/>
    <pivotTable tabId="20" name="TotalSales"/>
    <pivotTable tabId="23" name="TotalSales"/>
  </pivotTables>
  <state minimalRefreshVersion="6" lastRefreshVersion="6" pivotCacheId="84701754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484DA7F-A3E9-4030-AD39-AC58AFFEB641}" cache="NativeTimeline_Order_Date" caption="Order Date" level="2" selectionLevel="2" scrollPosition="2019-01-01T00:00:00" style=" "/>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02DA6-ACCB-4B4B-A5B5-A0D5264A619B}">
  <dimension ref="A1"/>
  <sheetViews>
    <sheetView showGridLines="0" zoomScale="85" zoomScaleNormal="85" workbookViewId="0">
      <selection activeCell="F46" sqref="F46"/>
    </sheetView>
  </sheetViews>
  <sheetFormatPr defaultRowHeight="15" x14ac:dyDescent="0.25"/>
  <cols>
    <col min="1" max="1" width="1.7109375" style="10" customWidth="1"/>
    <col min="2" max="16384" width="9.140625" style="10"/>
  </cols>
  <sheetData>
    <row r="1" s="10" customFormat="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BAA73-5549-409B-9590-FA1C232000AE}">
  <dimension ref="A3:F48"/>
  <sheetViews>
    <sheetView topLeftCell="C1" workbookViewId="0">
      <selection activeCell="V19" sqref="V19"/>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6209</v>
      </c>
      <c r="C3" s="6" t="s">
        <v>6196</v>
      </c>
    </row>
    <row r="4" spans="1:6" x14ac:dyDescent="0.25">
      <c r="A4" s="6" t="s">
        <v>6207</v>
      </c>
      <c r="B4" s="6" t="s">
        <v>6208</v>
      </c>
      <c r="C4" t="s">
        <v>6210</v>
      </c>
      <c r="D4" t="s">
        <v>6211</v>
      </c>
      <c r="E4" t="s">
        <v>6212</v>
      </c>
      <c r="F4" t="s">
        <v>6213</v>
      </c>
    </row>
    <row r="5" spans="1:6" x14ac:dyDescent="0.25">
      <c r="A5" t="s">
        <v>6198</v>
      </c>
      <c r="B5" t="s">
        <v>6219</v>
      </c>
      <c r="C5" s="7">
        <v>186.85499999999999</v>
      </c>
      <c r="D5" s="7">
        <v>305.97000000000003</v>
      </c>
      <c r="E5" s="7">
        <v>213.15999999999997</v>
      </c>
      <c r="F5" s="7">
        <v>123</v>
      </c>
    </row>
    <row r="6" spans="1:6" x14ac:dyDescent="0.25">
      <c r="B6" t="s">
        <v>6218</v>
      </c>
      <c r="C6" s="7">
        <v>251.96499999999997</v>
      </c>
      <c r="D6" s="7">
        <v>129.46</v>
      </c>
      <c r="E6" s="7">
        <v>434.03999999999996</v>
      </c>
      <c r="F6" s="7">
        <v>171.93999999999997</v>
      </c>
    </row>
    <row r="7" spans="1:6" x14ac:dyDescent="0.25">
      <c r="B7" t="s">
        <v>6199</v>
      </c>
      <c r="C7" s="7">
        <v>224.94499999999999</v>
      </c>
      <c r="D7" s="7">
        <v>349.12</v>
      </c>
      <c r="E7" s="7">
        <v>321.04000000000002</v>
      </c>
      <c r="F7" s="7">
        <v>126.035</v>
      </c>
    </row>
    <row r="8" spans="1:6" x14ac:dyDescent="0.25">
      <c r="B8" t="s">
        <v>6200</v>
      </c>
      <c r="C8" s="7">
        <v>307.12</v>
      </c>
      <c r="D8" s="7">
        <v>681.07499999999993</v>
      </c>
      <c r="E8" s="7">
        <v>533.70499999999993</v>
      </c>
      <c r="F8" s="7">
        <v>158.85</v>
      </c>
    </row>
    <row r="9" spans="1:6" x14ac:dyDescent="0.25">
      <c r="B9" t="s">
        <v>6201</v>
      </c>
      <c r="C9" s="7">
        <v>53.664999999999992</v>
      </c>
      <c r="D9" s="7">
        <v>83.025000000000006</v>
      </c>
      <c r="E9" s="7">
        <v>193.83499999999998</v>
      </c>
      <c r="F9" s="7">
        <v>68.039999999999992</v>
      </c>
    </row>
    <row r="10" spans="1:6" x14ac:dyDescent="0.25">
      <c r="B10" t="s">
        <v>6202</v>
      </c>
      <c r="C10" s="7">
        <v>163.01999999999998</v>
      </c>
      <c r="D10" s="7">
        <v>678.3599999999999</v>
      </c>
      <c r="E10" s="7">
        <v>171.04500000000002</v>
      </c>
      <c r="F10" s="7">
        <v>372.255</v>
      </c>
    </row>
    <row r="11" spans="1:6" x14ac:dyDescent="0.25">
      <c r="B11" t="s">
        <v>6203</v>
      </c>
      <c r="C11" s="7">
        <v>345.02</v>
      </c>
      <c r="D11" s="7">
        <v>273.86999999999995</v>
      </c>
      <c r="E11" s="7">
        <v>184.12999999999997</v>
      </c>
      <c r="F11" s="7">
        <v>201.11499999999998</v>
      </c>
    </row>
    <row r="12" spans="1:6" x14ac:dyDescent="0.25">
      <c r="B12" t="s">
        <v>6204</v>
      </c>
      <c r="C12" s="7">
        <v>334.89</v>
      </c>
      <c r="D12" s="7">
        <v>70.95</v>
      </c>
      <c r="E12" s="7">
        <v>134.23000000000002</v>
      </c>
      <c r="F12" s="7">
        <v>166.27499999999998</v>
      </c>
    </row>
    <row r="13" spans="1:6" x14ac:dyDescent="0.25">
      <c r="B13" t="s">
        <v>6205</v>
      </c>
      <c r="C13" s="7">
        <v>178.70999999999998</v>
      </c>
      <c r="D13" s="7">
        <v>166.1</v>
      </c>
      <c r="E13" s="7">
        <v>439.30999999999995</v>
      </c>
      <c r="F13" s="7">
        <v>492.9</v>
      </c>
    </row>
    <row r="14" spans="1:6" x14ac:dyDescent="0.25">
      <c r="B14" t="s">
        <v>6206</v>
      </c>
      <c r="C14" s="7">
        <v>301.98500000000001</v>
      </c>
      <c r="D14" s="7">
        <v>153.76499999999999</v>
      </c>
      <c r="E14" s="7">
        <v>215.55499999999998</v>
      </c>
      <c r="F14" s="7">
        <v>213.66499999999999</v>
      </c>
    </row>
    <row r="15" spans="1:6" x14ac:dyDescent="0.25">
      <c r="B15" t="s">
        <v>6215</v>
      </c>
      <c r="C15" s="7">
        <v>312.83499999999998</v>
      </c>
      <c r="D15" s="7">
        <v>63.249999999999993</v>
      </c>
      <c r="E15" s="7">
        <v>350.89500000000004</v>
      </c>
      <c r="F15" s="7">
        <v>96.405000000000001</v>
      </c>
    </row>
    <row r="16" spans="1:6" x14ac:dyDescent="0.25">
      <c r="B16" t="s">
        <v>6216</v>
      </c>
      <c r="C16" s="7">
        <v>265.62</v>
      </c>
      <c r="D16" s="7">
        <v>526.51499999999987</v>
      </c>
      <c r="E16" s="7">
        <v>187.06</v>
      </c>
      <c r="F16" s="7">
        <v>210.58999999999997</v>
      </c>
    </row>
    <row r="17" spans="1:6" x14ac:dyDescent="0.25">
      <c r="A17" t="s">
        <v>6217</v>
      </c>
      <c r="B17" t="s">
        <v>6219</v>
      </c>
      <c r="C17" s="7">
        <v>47.25</v>
      </c>
      <c r="D17" s="7">
        <v>65.805000000000007</v>
      </c>
      <c r="E17" s="7">
        <v>274.67500000000001</v>
      </c>
      <c r="F17" s="7">
        <v>179.22</v>
      </c>
    </row>
    <row r="18" spans="1:6" x14ac:dyDescent="0.25">
      <c r="B18" t="s">
        <v>6218</v>
      </c>
      <c r="C18" s="7">
        <v>745.44999999999993</v>
      </c>
      <c r="D18" s="7">
        <v>428.88499999999999</v>
      </c>
      <c r="E18" s="7">
        <v>194.17499999999998</v>
      </c>
      <c r="F18" s="7">
        <v>429.82999999999993</v>
      </c>
    </row>
    <row r="19" spans="1:6" x14ac:dyDescent="0.25">
      <c r="B19" t="s">
        <v>6199</v>
      </c>
      <c r="C19" s="7">
        <v>130.47</v>
      </c>
      <c r="D19" s="7">
        <v>271.48500000000001</v>
      </c>
      <c r="E19" s="7">
        <v>281.20499999999998</v>
      </c>
      <c r="F19" s="7">
        <v>231.63000000000002</v>
      </c>
    </row>
    <row r="20" spans="1:6" x14ac:dyDescent="0.25">
      <c r="B20" t="s">
        <v>6200</v>
      </c>
      <c r="C20" s="7">
        <v>27</v>
      </c>
      <c r="D20" s="7">
        <v>347.26</v>
      </c>
      <c r="E20" s="7">
        <v>147.51</v>
      </c>
      <c r="F20" s="7">
        <v>240.04</v>
      </c>
    </row>
    <row r="21" spans="1:6" x14ac:dyDescent="0.25">
      <c r="B21" t="s">
        <v>6201</v>
      </c>
      <c r="C21" s="7">
        <v>255.11499999999995</v>
      </c>
      <c r="D21" s="7">
        <v>541.73</v>
      </c>
      <c r="E21" s="7">
        <v>83.43</v>
      </c>
      <c r="F21" s="7">
        <v>59.079999999999991</v>
      </c>
    </row>
    <row r="22" spans="1:6" x14ac:dyDescent="0.25">
      <c r="B22" t="s">
        <v>6202</v>
      </c>
      <c r="C22" s="7">
        <v>584.78999999999985</v>
      </c>
      <c r="D22" s="7">
        <v>357.42999999999995</v>
      </c>
      <c r="E22" s="7">
        <v>355.34</v>
      </c>
      <c r="F22" s="7">
        <v>140.88</v>
      </c>
    </row>
    <row r="23" spans="1:6" x14ac:dyDescent="0.25">
      <c r="B23" t="s">
        <v>6203</v>
      </c>
      <c r="C23" s="7">
        <v>430.62</v>
      </c>
      <c r="D23" s="7">
        <v>227.42500000000001</v>
      </c>
      <c r="E23" s="7">
        <v>236.315</v>
      </c>
      <c r="F23" s="7">
        <v>414.58499999999992</v>
      </c>
    </row>
    <row r="24" spans="1:6" x14ac:dyDescent="0.25">
      <c r="B24" t="s">
        <v>6204</v>
      </c>
      <c r="C24" s="7">
        <v>22.5</v>
      </c>
      <c r="D24" s="7">
        <v>77.72</v>
      </c>
      <c r="E24" s="7">
        <v>60.5</v>
      </c>
      <c r="F24" s="7">
        <v>139.67999999999998</v>
      </c>
    </row>
    <row r="25" spans="1:6" x14ac:dyDescent="0.25">
      <c r="B25" t="s">
        <v>6205</v>
      </c>
      <c r="C25" s="7">
        <v>126.14999999999999</v>
      </c>
      <c r="D25" s="7">
        <v>195.11</v>
      </c>
      <c r="E25" s="7">
        <v>89.13</v>
      </c>
      <c r="F25" s="7">
        <v>302.65999999999997</v>
      </c>
    </row>
    <row r="26" spans="1:6" x14ac:dyDescent="0.25">
      <c r="B26" t="s">
        <v>6206</v>
      </c>
      <c r="C26" s="7">
        <v>376.03</v>
      </c>
      <c r="D26" s="7">
        <v>523.24</v>
      </c>
      <c r="E26" s="7">
        <v>440.96499999999997</v>
      </c>
      <c r="F26" s="7">
        <v>174.46999999999997</v>
      </c>
    </row>
    <row r="27" spans="1:6" x14ac:dyDescent="0.25">
      <c r="B27" t="s">
        <v>6215</v>
      </c>
      <c r="C27" s="7">
        <v>515.17999999999995</v>
      </c>
      <c r="D27" s="7">
        <v>142.56</v>
      </c>
      <c r="E27" s="7">
        <v>347.03999999999996</v>
      </c>
      <c r="F27" s="7">
        <v>104.08499999999999</v>
      </c>
    </row>
    <row r="28" spans="1:6" x14ac:dyDescent="0.25">
      <c r="B28" t="s">
        <v>6216</v>
      </c>
      <c r="C28" s="7">
        <v>95.859999999999985</v>
      </c>
      <c r="D28" s="7">
        <v>484.76</v>
      </c>
      <c r="E28" s="7">
        <v>94.17</v>
      </c>
      <c r="F28" s="7">
        <v>77.10499999999999</v>
      </c>
    </row>
    <row r="29" spans="1:6" x14ac:dyDescent="0.25">
      <c r="A29" t="s">
        <v>6220</v>
      </c>
      <c r="B29" t="s">
        <v>6219</v>
      </c>
      <c r="C29" s="7">
        <v>258.34500000000003</v>
      </c>
      <c r="D29" s="7">
        <v>139.625</v>
      </c>
      <c r="E29" s="7">
        <v>279.52000000000004</v>
      </c>
      <c r="F29" s="7">
        <v>160.19499999999999</v>
      </c>
    </row>
    <row r="30" spans="1:6" x14ac:dyDescent="0.25">
      <c r="B30" t="s">
        <v>6218</v>
      </c>
      <c r="C30" s="7">
        <v>342.2</v>
      </c>
      <c r="D30" s="7">
        <v>284.24999999999994</v>
      </c>
      <c r="E30" s="7">
        <v>251.83</v>
      </c>
      <c r="F30" s="7">
        <v>80.550000000000011</v>
      </c>
    </row>
    <row r="31" spans="1:6" x14ac:dyDescent="0.25">
      <c r="B31" t="s">
        <v>6199</v>
      </c>
      <c r="C31" s="7">
        <v>418.30499999999989</v>
      </c>
      <c r="D31" s="7">
        <v>468.125</v>
      </c>
      <c r="E31" s="7">
        <v>405.05500000000006</v>
      </c>
      <c r="F31" s="7">
        <v>253.15499999999997</v>
      </c>
    </row>
    <row r="32" spans="1:6" x14ac:dyDescent="0.25">
      <c r="B32" t="s">
        <v>6200</v>
      </c>
      <c r="C32" s="7">
        <v>102.32999999999998</v>
      </c>
      <c r="D32" s="7">
        <v>242.14000000000001</v>
      </c>
      <c r="E32" s="7">
        <v>554.875</v>
      </c>
      <c r="F32" s="7">
        <v>106.23999999999998</v>
      </c>
    </row>
    <row r="33" spans="1:6" x14ac:dyDescent="0.25">
      <c r="B33" t="s">
        <v>6201</v>
      </c>
      <c r="C33" s="7">
        <v>234.71999999999997</v>
      </c>
      <c r="D33" s="7">
        <v>133.08000000000001</v>
      </c>
      <c r="E33" s="7">
        <v>267.2</v>
      </c>
      <c r="F33" s="7">
        <v>272.68999999999994</v>
      </c>
    </row>
    <row r="34" spans="1:6" x14ac:dyDescent="0.25">
      <c r="B34" t="s">
        <v>6202</v>
      </c>
      <c r="C34" s="7">
        <v>430.39</v>
      </c>
      <c r="D34" s="7">
        <v>136.20500000000001</v>
      </c>
      <c r="E34" s="7">
        <v>209.6</v>
      </c>
      <c r="F34" s="7">
        <v>88.334999999999994</v>
      </c>
    </row>
    <row r="35" spans="1:6" x14ac:dyDescent="0.25">
      <c r="B35" t="s">
        <v>6203</v>
      </c>
      <c r="C35" s="7">
        <v>109.005</v>
      </c>
      <c r="D35" s="7">
        <v>393.57499999999999</v>
      </c>
      <c r="E35" s="7">
        <v>61.034999999999997</v>
      </c>
      <c r="F35" s="7">
        <v>199.48999999999998</v>
      </c>
    </row>
    <row r="36" spans="1:6" x14ac:dyDescent="0.25">
      <c r="B36" t="s">
        <v>6204</v>
      </c>
      <c r="C36" s="7">
        <v>287.52499999999998</v>
      </c>
      <c r="D36" s="7">
        <v>288.67</v>
      </c>
      <c r="E36" s="7">
        <v>125.58</v>
      </c>
      <c r="F36" s="7">
        <v>374.13499999999999</v>
      </c>
    </row>
    <row r="37" spans="1:6" x14ac:dyDescent="0.25">
      <c r="B37" t="s">
        <v>6205</v>
      </c>
      <c r="C37" s="7">
        <v>840.92999999999984</v>
      </c>
      <c r="D37" s="7">
        <v>409.875</v>
      </c>
      <c r="E37" s="7">
        <v>171.32999999999998</v>
      </c>
      <c r="F37" s="7">
        <v>221.43999999999997</v>
      </c>
    </row>
    <row r="38" spans="1:6" x14ac:dyDescent="0.25">
      <c r="B38" t="s">
        <v>6206</v>
      </c>
      <c r="C38" s="7">
        <v>299.07</v>
      </c>
      <c r="D38" s="7">
        <v>260.32499999999999</v>
      </c>
      <c r="E38" s="7">
        <v>584.64</v>
      </c>
      <c r="F38" s="7">
        <v>256.36500000000001</v>
      </c>
    </row>
    <row r="39" spans="1:6" x14ac:dyDescent="0.25">
      <c r="B39" t="s">
        <v>6215</v>
      </c>
      <c r="C39" s="7">
        <v>323.32499999999999</v>
      </c>
      <c r="D39" s="7">
        <v>565.57000000000005</v>
      </c>
      <c r="E39" s="7">
        <v>537.80999999999995</v>
      </c>
      <c r="F39" s="7">
        <v>189.47499999999999</v>
      </c>
    </row>
    <row r="40" spans="1:6" x14ac:dyDescent="0.25">
      <c r="B40" t="s">
        <v>6216</v>
      </c>
      <c r="C40" s="7">
        <v>399.48499999999996</v>
      </c>
      <c r="D40" s="7">
        <v>148.19999999999999</v>
      </c>
      <c r="E40" s="7">
        <v>388.21999999999997</v>
      </c>
      <c r="F40" s="7">
        <v>212.07499999999999</v>
      </c>
    </row>
    <row r="41" spans="1:6" x14ac:dyDescent="0.25">
      <c r="A41" t="s">
        <v>6221</v>
      </c>
      <c r="B41" t="s">
        <v>6219</v>
      </c>
      <c r="C41" s="7">
        <v>112.69499999999999</v>
      </c>
      <c r="D41" s="7">
        <v>166.32</v>
      </c>
      <c r="E41" s="7">
        <v>843.71499999999992</v>
      </c>
      <c r="F41" s="7">
        <v>146.685</v>
      </c>
    </row>
    <row r="42" spans="1:6" x14ac:dyDescent="0.25">
      <c r="B42" t="s">
        <v>6218</v>
      </c>
      <c r="C42" s="7">
        <v>114.87999999999998</v>
      </c>
      <c r="D42" s="7">
        <v>133.815</v>
      </c>
      <c r="E42" s="7">
        <v>91.175000000000011</v>
      </c>
      <c r="F42" s="7">
        <v>53.759999999999991</v>
      </c>
    </row>
    <row r="43" spans="1:6" x14ac:dyDescent="0.25">
      <c r="B43" t="s">
        <v>6199</v>
      </c>
      <c r="C43" s="7">
        <v>277.76</v>
      </c>
      <c r="D43" s="7">
        <v>175.41</v>
      </c>
      <c r="E43" s="7">
        <v>462.50999999999993</v>
      </c>
      <c r="F43" s="7">
        <v>399.52499999999998</v>
      </c>
    </row>
    <row r="44" spans="1:6" x14ac:dyDescent="0.25">
      <c r="B44" t="s">
        <v>6200</v>
      </c>
      <c r="C44" s="7">
        <v>197.89499999999998</v>
      </c>
      <c r="D44" s="7">
        <v>289.755</v>
      </c>
      <c r="E44" s="7">
        <v>88.545000000000002</v>
      </c>
      <c r="F44" s="7">
        <v>200.25499999999997</v>
      </c>
    </row>
    <row r="45" spans="1:6" x14ac:dyDescent="0.25">
      <c r="B45" t="s">
        <v>6201</v>
      </c>
      <c r="C45" s="7">
        <v>193.11499999999998</v>
      </c>
      <c r="D45" s="7">
        <v>212.49499999999998</v>
      </c>
      <c r="E45" s="7">
        <v>292.29000000000002</v>
      </c>
      <c r="F45" s="7">
        <v>304.46999999999997</v>
      </c>
    </row>
    <row r="46" spans="1:6" x14ac:dyDescent="0.25">
      <c r="B46" t="s">
        <v>6202</v>
      </c>
      <c r="C46" s="7">
        <v>179.79</v>
      </c>
      <c r="D46" s="7">
        <v>426.2</v>
      </c>
      <c r="E46" s="7">
        <v>170.08999999999997</v>
      </c>
      <c r="F46" s="7">
        <v>379.31</v>
      </c>
    </row>
    <row r="47" spans="1:6" x14ac:dyDescent="0.25">
      <c r="B47" t="s">
        <v>6203</v>
      </c>
      <c r="C47" s="7">
        <v>247.28999999999996</v>
      </c>
      <c r="D47" s="7">
        <v>246.685</v>
      </c>
      <c r="E47" s="7">
        <v>271.05499999999995</v>
      </c>
      <c r="F47" s="7">
        <v>141.69999999999999</v>
      </c>
    </row>
    <row r="48" spans="1:6" x14ac:dyDescent="0.25">
      <c r="B48" t="s">
        <v>6204</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0E703-A0A1-44CF-B9C7-ECCA662476A3}">
  <dimension ref="A3:T24"/>
  <sheetViews>
    <sheetView workbookViewId="0">
      <selection activeCell="F30" sqref="F30"/>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7</v>
      </c>
      <c r="B3" t="s">
        <v>6209</v>
      </c>
    </row>
    <row r="4" spans="1:2" x14ac:dyDescent="0.25">
      <c r="A4" t="s">
        <v>28</v>
      </c>
      <c r="B4" s="9">
        <v>2798.5050000000001</v>
      </c>
    </row>
    <row r="5" spans="1:2" x14ac:dyDescent="0.25">
      <c r="A5" t="s">
        <v>318</v>
      </c>
      <c r="B5" s="9">
        <v>6696.8649999999989</v>
      </c>
    </row>
    <row r="6" spans="1:2" x14ac:dyDescent="0.25">
      <c r="A6" t="s">
        <v>19</v>
      </c>
      <c r="B6" s="9">
        <v>35638.88499999998</v>
      </c>
    </row>
    <row r="24" spans="20:20" x14ac:dyDescent="0.25">
      <c r="T24" t="s">
        <v>6214</v>
      </c>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14D1A-E275-452F-AFEC-141C952F79E2}">
  <dimension ref="A3:T24"/>
  <sheetViews>
    <sheetView workbookViewId="0">
      <selection activeCell="C26" sqref="C26"/>
    </sheetView>
  </sheetViews>
  <sheetFormatPr defaultRowHeight="15" x14ac:dyDescent="0.25"/>
  <cols>
    <col min="1" max="1" width="17.7109375" bestFit="1" customWidth="1"/>
    <col min="2" max="3" width="12.140625" bestFit="1" customWidth="1"/>
    <col min="4" max="4" width="7.85546875" bestFit="1" customWidth="1"/>
    <col min="5" max="6" width="8.140625" bestFit="1" customWidth="1"/>
  </cols>
  <sheetData>
    <row r="3" spans="1:2" x14ac:dyDescent="0.25">
      <c r="A3" s="6" t="s">
        <v>4</v>
      </c>
      <c r="B3" t="s">
        <v>6209</v>
      </c>
    </row>
    <row r="4" spans="1:2" x14ac:dyDescent="0.25">
      <c r="A4" t="s">
        <v>3753</v>
      </c>
      <c r="B4" s="9">
        <v>278.01</v>
      </c>
    </row>
    <row r="5" spans="1:2" x14ac:dyDescent="0.25">
      <c r="A5" t="s">
        <v>1598</v>
      </c>
      <c r="B5" s="9">
        <v>281.67499999999995</v>
      </c>
    </row>
    <row r="6" spans="1:2" x14ac:dyDescent="0.25">
      <c r="A6" t="s">
        <v>2587</v>
      </c>
      <c r="B6" s="9">
        <v>289.11</v>
      </c>
    </row>
    <row r="7" spans="1:2" x14ac:dyDescent="0.25">
      <c r="A7" t="s">
        <v>5765</v>
      </c>
      <c r="B7" s="9">
        <v>307.04499999999996</v>
      </c>
    </row>
    <row r="8" spans="1:2" x14ac:dyDescent="0.25">
      <c r="A8" t="s">
        <v>5114</v>
      </c>
      <c r="B8" s="9">
        <v>317.06999999999994</v>
      </c>
    </row>
    <row r="24" spans="20:20" x14ac:dyDescent="0.25">
      <c r="T24" t="s">
        <v>6214</v>
      </c>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C6" sqref="C6"/>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6.42578125" bestFit="1" customWidth="1"/>
    <col min="12" max="12" width="11.28515625" customWidth="1"/>
    <col min="13" max="13" width="9" bestFit="1"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f>
        <v>Aloisia Allner</v>
      </c>
      <c r="G2" s="2" t="str">
        <f>IF(_xlfn.XLOOKUP(C2,customers!$A$1:$A$1001,customers!$C$1:$C$1001,,0)=0,"",_xlfn.XLOOKUP(C2,customers!$A$1:$A$1001,customers!$C$1:$C$1001,,0))</f>
        <v>aallner0@lulu.com</v>
      </c>
      <c r="H2" s="2" t="str">
        <f>_xlfn.XLOOKUP(C2,customers!$A$1:$A$1001,customers!$G$1:$G$1001,,0)</f>
        <v>United States</v>
      </c>
      <c r="I2" t="str">
        <f>INDEX(products!$A$1:$G$49,MATCH($D2,products!$A$1:$A$49,0),MATCH(I$1,products!$A$1:$G$1,0))</f>
        <v>Rob</v>
      </c>
      <c r="J2" t="str">
        <f>INDEX(products!$A$1:$G$49,MATCH($D2,products!$A$1:$A$49,0),MATCH(J$1,products!$A$1:$G$1,0))</f>
        <v>M</v>
      </c>
      <c r="K2" s="4">
        <f>INDEX(products!$A$1:$G$49,MATCH($D2,products!$A$1:$A$49,0),MATCH(K$1,products!$A$1:$G$1,0))</f>
        <v>1</v>
      </c>
      <c r="L2" s="5">
        <f>INDEX(products!$A$1:$G$49,MATCH($D2,products!$A$1:$A$49,0),MATCH(L$1,products!$A$1:$G$1,0))</f>
        <v>9.9499999999999993</v>
      </c>
      <c r="M2" s="5">
        <f>L2*E2</f>
        <v>19.899999999999999</v>
      </c>
      <c r="N2" t="str">
        <f>IF(I2="Rob","Robusta",IF(I2="Ara","Arabica",IF(I2="Exc","Excelsa",IF(I2="Lib","Liberica",""))))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f>
        <v>Aloisia Allner</v>
      </c>
      <c r="G3" s="2" t="str">
        <f>IF(_xlfn.XLOOKUP(C3,customers!$A$1:$A$1001,customers!$C$1:$C$1001,,0)=0,"",_xlfn.XLOOKUP(C3,customers!$A$1:$A$1001,customers!$C$1:$C$1001,,0))</f>
        <v>aallner0@lulu.com</v>
      </c>
      <c r="H3" s="2" t="str">
        <f>_xlfn.XLOOKUP(C3,customers!$A$1:$A$1001,customers!$G$1:$G$1001,,0)</f>
        <v>United States</v>
      </c>
      <c r="I3" t="str">
        <f>INDEX(products!$A$1:$G$49,MATCH($D3,products!$A$1:$A$49,0),MATCH(I$1,products!$A$1:$G$1,0))</f>
        <v>Exc</v>
      </c>
      <c r="J3" t="str">
        <f>INDEX(products!$A$1:$G$49,MATCH($D3,products!$A$1:$A$49,0),MATCH(J$1,products!$A$1:$G$1,0))</f>
        <v>M</v>
      </c>
      <c r="K3" s="4">
        <f>INDEX(products!$A$1:$G$49,MATCH($D3,products!$A$1:$A$49,0),MATCH(K$1,products!$A$1:$G$1,0))</f>
        <v>0.5</v>
      </c>
      <c r="L3" s="5">
        <f>INDEX(products!$A$1:$G$49,MATCH($D3,products!$A$1:$A$49,0),MATCH(L$1,products!$A$1:$G$1,0))</f>
        <v>8.25</v>
      </c>
      <c r="M3" s="5">
        <f t="shared" ref="M3:M66" si="0">L3*E3</f>
        <v>41.25</v>
      </c>
      <c r="N3" t="str">
        <f t="shared" ref="N3:N5" si="1">IF(I3="Rob","Robusta",IF(I3="Ara","Arabica",IF(I3="Exc","Excelsa",IF(I3="Lib","Liberica",""))))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f>
        <v>Jami Redholes</v>
      </c>
      <c r="G4" s="2" t="str">
        <f>IF(_xlfn.XLOOKUP(C4,customers!$A$1:$A$1001,customers!$C$1:$C$1001,,0)=0,"",_xlfn.XLOOKUP(C4,customers!$A$1:$A$1001,customers!$C$1:$C$1001,,0))</f>
        <v>jredholes2@tmall.com</v>
      </c>
      <c r="H4" s="2" t="str">
        <f>_xlfn.XLOOKUP(C4,customers!$A$1:$A$1001,customers!$G$1:$G$1001,,0)</f>
        <v>United States</v>
      </c>
      <c r="I4" t="str">
        <f>INDEX(products!$A$1:$G$49,MATCH($D4,products!$A$1:$A$49,0),MATCH(I$1,products!$A$1:$G$1,0))</f>
        <v>Ara</v>
      </c>
      <c r="J4" t="str">
        <f>INDEX(products!$A$1:$G$49,MATCH($D4,products!$A$1:$A$49,0),MATCH(J$1,products!$A$1:$G$1,0))</f>
        <v>L</v>
      </c>
      <c r="K4" s="4">
        <f>INDEX(products!$A$1:$G$49,MATCH($D4,products!$A$1:$A$49,0),MATCH(K$1,products!$A$1:$G$1,0))</f>
        <v>1</v>
      </c>
      <c r="L4" s="5">
        <f>INDEX(products!$A$1:$G$49,MATCH($D4,products!$A$1:$A$49,0),MATCH(L$1,products!$A$1:$G$1,0))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f>
        <v>Christoffer O' Shea</v>
      </c>
      <c r="G5" s="2" t="str">
        <f>IF(_xlfn.XLOOKUP(C5,customers!$A$1:$A$1001,customers!$C$1:$C$1001,,0)=0,"",_xlfn.XLOOKUP(C5,customers!$A$1:$A$1001,customers!$C$1:$C$1001,,0))</f>
        <v/>
      </c>
      <c r="H5" s="2" t="str">
        <f>_xlfn.XLOOKUP(C5,customers!$A$1:$A$1001,customers!$G$1:$G$1001,,0)</f>
        <v>Ireland</v>
      </c>
      <c r="I5" t="str">
        <f>INDEX(products!$A$1:$G$49,MATCH($D5,products!$A$1:$A$49,0),MATCH(I$1,products!$A$1:$G$1,0))</f>
        <v>Exc</v>
      </c>
      <c r="J5" t="str">
        <f>INDEX(products!$A$1:$G$49,MATCH($D5,products!$A$1:$A$49,0),MATCH(J$1,products!$A$1:$G$1,0))</f>
        <v>M</v>
      </c>
      <c r="K5" s="4">
        <f>INDEX(products!$A$1:$G$49,MATCH($D5,products!$A$1:$A$49,0),MATCH(K$1,products!$A$1:$G$1,0))</f>
        <v>1</v>
      </c>
      <c r="L5" s="5">
        <f>INDEX(products!$A$1:$G$49,MATCH($D5,products!$A$1:$A$49,0),MATCH(L$1,products!$A$1:$G$1,0))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f>
        <v>Christoffer O' Shea</v>
      </c>
      <c r="G6" s="2" t="str">
        <f>IF(_xlfn.XLOOKUP(C6,customers!$A$1:$A$1001,customers!$C$1:$C$1001,,0)=0,"",_xlfn.XLOOKUP(C6,customers!$A$1:$A$1001,customers!$C$1:$C$1001,,0))</f>
        <v/>
      </c>
      <c r="H6" s="2" t="str">
        <f>_xlfn.XLOOKUP(C6,customers!$A$1:$A$1001,customers!$G$1:$G$1001,,0)</f>
        <v>Ireland</v>
      </c>
      <c r="I6" t="str">
        <f>INDEX(products!$A$1:$G$49,MATCH($D6,products!$A$1:$A$49,0),MATCH(I$1,products!$A$1:$G$1,0))</f>
        <v>Rob</v>
      </c>
      <c r="J6" t="str">
        <f>INDEX(products!$A$1:$G$49,MATCH($D6,products!$A$1:$A$49,0),MATCH(J$1,products!$A$1:$G$1,0))</f>
        <v>L</v>
      </c>
      <c r="K6" s="4">
        <f>INDEX(products!$A$1:$G$49,MATCH($D6,products!$A$1:$A$49,0),MATCH(K$1,products!$A$1:$G$1,0))</f>
        <v>2.5</v>
      </c>
      <c r="L6" s="5">
        <f>INDEX(products!$A$1:$G$49,MATCH($D6,products!$A$1:$A$49,0),MATCH(L$1,products!$A$1:$G$1,0))</f>
        <v>27.484999999999996</v>
      </c>
      <c r="M6" s="5">
        <f t="shared" si="0"/>
        <v>54.969999999999992</v>
      </c>
      <c r="N6" t="str">
        <f>IF(I6="Rob","Robusta",IF(I6="Ara","Arabica",IF(I6="Exc","Excelsa",IF(I6="Lib","Liberica",""))))</f>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f>
        <v>Beryle Cottier</v>
      </c>
      <c r="G7" s="2" t="str">
        <f>IF(_xlfn.XLOOKUP(C7,customers!$A$1:$A$1001,customers!$C$1:$C$1001,,0)=0,"",_xlfn.XLOOKUP(C7,customers!$A$1:$A$1001,customers!$C$1:$C$1001,,0))</f>
        <v/>
      </c>
      <c r="H7" s="2" t="str">
        <f>_xlfn.XLOOKUP(C7,customers!$A$1:$A$1001,customers!$G$1:$G$1001,,0)</f>
        <v>United States</v>
      </c>
      <c r="I7" t="str">
        <f>INDEX(products!$A$1:$G$49,MATCH($D7,products!$A$1:$A$49,0),MATCH(I$1,products!$A$1:$G$1,0))</f>
        <v>Lib</v>
      </c>
      <c r="J7" t="str">
        <f>INDEX(products!$A$1:$G$49,MATCH($D7,products!$A$1:$A$49,0),MATCH(J$1,products!$A$1:$G$1,0))</f>
        <v>D</v>
      </c>
      <c r="K7" s="4">
        <f>INDEX(products!$A$1:$G$49,MATCH($D7,products!$A$1:$A$49,0),MATCH(K$1,products!$A$1:$G$1,0))</f>
        <v>1</v>
      </c>
      <c r="L7" s="5">
        <f>INDEX(products!$A$1:$G$49,MATCH($D7,products!$A$1:$A$49,0),MATCH(L$1,products!$A$1:$G$1,0))</f>
        <v>12.95</v>
      </c>
      <c r="M7" s="5">
        <f t="shared" si="0"/>
        <v>38.849999999999994</v>
      </c>
      <c r="N7" t="str">
        <f t="shared" ref="N7:N70" si="3">IF(I7="Rob","Robusta",IF(I7="Ara","Arabica",IF(I7="Exc","Excelsa",IF(I7="Lib","Liberica",""))))</f>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f>
        <v>Shaylynn Lobe</v>
      </c>
      <c r="G8" s="2" t="str">
        <f>IF(_xlfn.XLOOKUP(C8,customers!$A$1:$A$1001,customers!$C$1:$C$1001,,0)=0,"",_xlfn.XLOOKUP(C8,customers!$A$1:$A$1001,customers!$C$1:$C$1001,,0))</f>
        <v>slobe6@nifty.com</v>
      </c>
      <c r="H8" s="2" t="str">
        <f>_xlfn.XLOOKUP(C8,customers!$A$1:$A$1001,customers!$G$1:$G$1001,,0)</f>
        <v>United States</v>
      </c>
      <c r="I8" t="str">
        <f>INDEX(products!$A$1:$G$49,MATCH($D8,products!$A$1:$A$49,0),MATCH(I$1,products!$A$1:$G$1,0))</f>
        <v>Exc</v>
      </c>
      <c r="J8" t="str">
        <f>INDEX(products!$A$1:$G$49,MATCH($D8,products!$A$1:$A$49,0),MATCH(J$1,products!$A$1:$G$1,0))</f>
        <v>D</v>
      </c>
      <c r="K8" s="4">
        <f>INDEX(products!$A$1:$G$49,MATCH($D8,products!$A$1:$A$49,0),MATCH(K$1,products!$A$1:$G$1,0))</f>
        <v>0.5</v>
      </c>
      <c r="L8" s="5">
        <f>INDEX(products!$A$1:$G$49,MATCH($D8,products!$A$1:$A$49,0),MATCH(L$1,products!$A$1:$G$1,0))</f>
        <v>7.29</v>
      </c>
      <c r="M8" s="5">
        <f t="shared" si="0"/>
        <v>21.87</v>
      </c>
      <c r="N8" t="str">
        <f t="shared" si="3"/>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f>
        <v>Melvin Wharfe</v>
      </c>
      <c r="G9" s="2" t="str">
        <f>IF(_xlfn.XLOOKUP(C9,customers!$A$1:$A$1001,customers!$C$1:$C$1001,,0)=0,"",_xlfn.XLOOKUP(C9,customers!$A$1:$A$1001,customers!$C$1:$C$1001,,0))</f>
        <v/>
      </c>
      <c r="H9" s="2" t="str">
        <f>_xlfn.XLOOKUP(C9,customers!$A$1:$A$1001,customers!$G$1:$G$1001,,0)</f>
        <v>Ireland</v>
      </c>
      <c r="I9" t="str">
        <f>INDEX(products!$A$1:$G$49,MATCH($D9,products!$A$1:$A$49,0),MATCH(I$1,products!$A$1:$G$1,0))</f>
        <v>Lib</v>
      </c>
      <c r="J9" t="str">
        <f>INDEX(products!$A$1:$G$49,MATCH($D9,products!$A$1:$A$49,0),MATCH(J$1,products!$A$1:$G$1,0))</f>
        <v>L</v>
      </c>
      <c r="K9" s="4">
        <f>INDEX(products!$A$1:$G$49,MATCH($D9,products!$A$1:$A$49,0),MATCH(K$1,products!$A$1:$G$1,0))</f>
        <v>0.2</v>
      </c>
      <c r="L9" s="5">
        <f>INDEX(products!$A$1:$G$49,MATCH($D9,products!$A$1:$A$49,0),MATCH(L$1,products!$A$1:$G$1,0))</f>
        <v>4.7549999999999999</v>
      </c>
      <c r="M9" s="5">
        <f t="shared" si="0"/>
        <v>4.7549999999999999</v>
      </c>
      <c r="N9" t="str">
        <f t="shared" si="3"/>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INDEX(products!$A$1:$G$49,MATCH($D10,products!$A$1:$A$49,0),MATCH(I$1,products!$A$1:$G$1,0))</f>
        <v>Rob</v>
      </c>
      <c r="J10" t="str">
        <f>INDEX(products!$A$1:$G$49,MATCH($D10,products!$A$1:$A$49,0),MATCH(J$1,products!$A$1:$G$1,0))</f>
        <v>M</v>
      </c>
      <c r="K10" s="4">
        <f>INDEX(products!$A$1:$G$49,MATCH($D10,products!$A$1:$A$49,0),MATCH(K$1,products!$A$1:$G$1,0))</f>
        <v>0.5</v>
      </c>
      <c r="L10" s="5">
        <f>INDEX(products!$A$1:$G$49,MATCH($D10,products!$A$1:$A$49,0),MATCH(L$1,products!$A$1:$G$1,0))</f>
        <v>5.97</v>
      </c>
      <c r="M10" s="5">
        <f t="shared" si="0"/>
        <v>17.91</v>
      </c>
      <c r="N10" t="str">
        <f t="shared" si="3"/>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f>
        <v>Rodger Raven</v>
      </c>
      <c r="G11" s="2" t="str">
        <f>IF(_xlfn.XLOOKUP(C11,customers!$A$1:$A$1001,customers!$C$1:$C$1001,,0)=0,"",_xlfn.XLOOKUP(C11,customers!$A$1:$A$1001,customers!$C$1:$C$1001,,0))</f>
        <v>rraven9@ed.gov</v>
      </c>
      <c r="H11" s="2" t="str">
        <f>_xlfn.XLOOKUP(C11,customers!$A$1:$A$1001,customers!$G$1:$G$1001,,0)</f>
        <v>United States</v>
      </c>
      <c r="I11" t="str">
        <f>INDEX(products!$A$1:$G$49,MATCH($D11,products!$A$1:$A$49,0),MATCH(I$1,products!$A$1:$G$1,0))</f>
        <v>Rob</v>
      </c>
      <c r="J11" t="str">
        <f>INDEX(products!$A$1:$G$49,MATCH($D11,products!$A$1:$A$49,0),MATCH(J$1,products!$A$1:$G$1,0))</f>
        <v>M</v>
      </c>
      <c r="K11" s="4">
        <f>INDEX(products!$A$1:$G$49,MATCH($D11,products!$A$1:$A$49,0),MATCH(K$1,products!$A$1:$G$1,0))</f>
        <v>0.5</v>
      </c>
      <c r="L11" s="5">
        <f>INDEX(products!$A$1:$G$49,MATCH($D11,products!$A$1:$A$49,0),MATCH(L$1,products!$A$1:$G$1,0))</f>
        <v>5.97</v>
      </c>
      <c r="M11" s="5">
        <f t="shared" si="0"/>
        <v>5.97</v>
      </c>
      <c r="N11" t="str">
        <f t="shared" si="3"/>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INDEX(products!$A$1:$G$49,MATCH($D12,products!$A$1:$A$49,0),MATCH(I$1,products!$A$1:$G$1,0))</f>
        <v>Ara</v>
      </c>
      <c r="J12" t="str">
        <f>INDEX(products!$A$1:$G$49,MATCH($D12,products!$A$1:$A$49,0),MATCH(J$1,products!$A$1:$G$1,0))</f>
        <v>D</v>
      </c>
      <c r="K12" s="4">
        <f>INDEX(products!$A$1:$G$49,MATCH($D12,products!$A$1:$A$49,0),MATCH(K$1,products!$A$1:$G$1,0))</f>
        <v>1</v>
      </c>
      <c r="L12" s="5">
        <f>INDEX(products!$A$1:$G$49,MATCH($D12,products!$A$1:$A$49,0),MATCH(L$1,products!$A$1:$G$1,0))</f>
        <v>9.9499999999999993</v>
      </c>
      <c r="M12" s="5">
        <f t="shared" si="0"/>
        <v>39.799999999999997</v>
      </c>
      <c r="N12" t="str">
        <f t="shared" si="3"/>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INDEX(products!$A$1:$G$49,MATCH($D13,products!$A$1:$A$49,0),MATCH(I$1,products!$A$1:$G$1,0))</f>
        <v>Exc</v>
      </c>
      <c r="J13" t="str">
        <f>INDEX(products!$A$1:$G$49,MATCH($D13,products!$A$1:$A$49,0),MATCH(J$1,products!$A$1:$G$1,0))</f>
        <v>L</v>
      </c>
      <c r="K13" s="4">
        <f>INDEX(products!$A$1:$G$49,MATCH($D13,products!$A$1:$A$49,0),MATCH(K$1,products!$A$1:$G$1,0))</f>
        <v>2.5</v>
      </c>
      <c r="L13" s="5">
        <f>INDEX(products!$A$1:$G$49,MATCH($D13,products!$A$1:$A$49,0),MATCH(L$1,products!$A$1:$G$1,0))</f>
        <v>34.154999999999994</v>
      </c>
      <c r="M13" s="5">
        <f t="shared" si="0"/>
        <v>170.77499999999998</v>
      </c>
      <c r="N13" t="str">
        <f t="shared" si="3"/>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INDEX(products!$A$1:$G$49,MATCH($D14,products!$A$1:$A$49,0),MATCH(I$1,products!$A$1:$G$1,0))</f>
        <v>Rob</v>
      </c>
      <c r="J14" t="str">
        <f>INDEX(products!$A$1:$G$49,MATCH($D14,products!$A$1:$A$49,0),MATCH(J$1,products!$A$1:$G$1,0))</f>
        <v>M</v>
      </c>
      <c r="K14" s="4">
        <f>INDEX(products!$A$1:$G$49,MATCH($D14,products!$A$1:$A$49,0),MATCH(K$1,products!$A$1:$G$1,0))</f>
        <v>1</v>
      </c>
      <c r="L14" s="5">
        <f>INDEX(products!$A$1:$G$49,MATCH($D14,products!$A$1:$A$49,0),MATCH(L$1,products!$A$1:$G$1,0))</f>
        <v>9.9499999999999993</v>
      </c>
      <c r="M14" s="5">
        <f t="shared" si="0"/>
        <v>49.75</v>
      </c>
      <c r="N14" t="str">
        <f t="shared" si="3"/>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INDEX(products!$A$1:$G$49,MATCH($D15,products!$A$1:$A$49,0),MATCH(I$1,products!$A$1:$G$1,0))</f>
        <v>Rob</v>
      </c>
      <c r="J15" t="str">
        <f>INDEX(products!$A$1:$G$49,MATCH($D15,products!$A$1:$A$49,0),MATCH(J$1,products!$A$1:$G$1,0))</f>
        <v>D</v>
      </c>
      <c r="K15" s="4">
        <f>INDEX(products!$A$1:$G$49,MATCH($D15,products!$A$1:$A$49,0),MATCH(K$1,products!$A$1:$G$1,0))</f>
        <v>2.5</v>
      </c>
      <c r="L15" s="5">
        <f>INDEX(products!$A$1:$G$49,MATCH($D15,products!$A$1:$A$49,0),MATCH(L$1,products!$A$1:$G$1,0))</f>
        <v>20.584999999999997</v>
      </c>
      <c r="M15" s="5">
        <f t="shared" si="0"/>
        <v>41.169999999999995</v>
      </c>
      <c r="N15" t="str">
        <f t="shared" si="3"/>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INDEX(products!$A$1:$G$49,MATCH($D16,products!$A$1:$A$49,0),MATCH(I$1,products!$A$1:$G$1,0))</f>
        <v>Lib</v>
      </c>
      <c r="J16" t="str">
        <f>INDEX(products!$A$1:$G$49,MATCH($D16,products!$A$1:$A$49,0),MATCH(J$1,products!$A$1:$G$1,0))</f>
        <v>D</v>
      </c>
      <c r="K16" s="4">
        <f>INDEX(products!$A$1:$G$49,MATCH($D16,products!$A$1:$A$49,0),MATCH(K$1,products!$A$1:$G$1,0))</f>
        <v>0.2</v>
      </c>
      <c r="L16" s="5">
        <f>INDEX(products!$A$1:$G$49,MATCH($D16,products!$A$1:$A$49,0),MATCH(L$1,products!$A$1:$G$1,0))</f>
        <v>3.8849999999999998</v>
      </c>
      <c r="M16" s="5">
        <f t="shared" si="0"/>
        <v>11.654999999999999</v>
      </c>
      <c r="N16" t="str">
        <f t="shared" si="3"/>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INDEX(products!$A$1:$G$49,MATCH($D17,products!$A$1:$A$49,0),MATCH(I$1,products!$A$1:$G$1,0))</f>
        <v>Rob</v>
      </c>
      <c r="J17" t="str">
        <f>INDEX(products!$A$1:$G$49,MATCH($D17,products!$A$1:$A$49,0),MATCH(J$1,products!$A$1:$G$1,0))</f>
        <v>M</v>
      </c>
      <c r="K17" s="4">
        <f>INDEX(products!$A$1:$G$49,MATCH($D17,products!$A$1:$A$49,0),MATCH(K$1,products!$A$1:$G$1,0))</f>
        <v>2.5</v>
      </c>
      <c r="L17" s="5">
        <f>INDEX(products!$A$1:$G$49,MATCH($D17,products!$A$1:$A$49,0),MATCH(L$1,products!$A$1:$G$1,0))</f>
        <v>22.884999999999998</v>
      </c>
      <c r="M17" s="5">
        <f t="shared" si="0"/>
        <v>114.42499999999998</v>
      </c>
      <c r="N17" t="str">
        <f t="shared" si="3"/>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INDEX(products!$A$1:$G$49,MATCH($D18,products!$A$1:$A$49,0),MATCH(I$1,products!$A$1:$G$1,0))</f>
        <v>Ara</v>
      </c>
      <c r="J18" t="str">
        <f>INDEX(products!$A$1:$G$49,MATCH($D18,products!$A$1:$A$49,0),MATCH(J$1,products!$A$1:$G$1,0))</f>
        <v>M</v>
      </c>
      <c r="K18" s="4">
        <f>INDEX(products!$A$1:$G$49,MATCH($D18,products!$A$1:$A$49,0),MATCH(K$1,products!$A$1:$G$1,0))</f>
        <v>0.2</v>
      </c>
      <c r="L18" s="5">
        <f>INDEX(products!$A$1:$G$49,MATCH($D18,products!$A$1:$A$49,0),MATCH(L$1,products!$A$1:$G$1,0))</f>
        <v>3.375</v>
      </c>
      <c r="M18" s="5">
        <f t="shared" si="0"/>
        <v>20.25</v>
      </c>
      <c r="N18" t="str">
        <f t="shared" si="3"/>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f>
        <v>Rhianon Broxup</v>
      </c>
      <c r="G19" s="2" t="str">
        <f>IF(_xlfn.XLOOKUP(C19,customers!$A$1:$A$1001,customers!$C$1:$C$1001,,0)=0,"",_xlfn.XLOOKUP(C19,customers!$A$1:$A$1001,customers!$C$1:$C$1001,,0))</f>
        <v>rbroxuph@jimdo.com</v>
      </c>
      <c r="H19" s="2" t="str">
        <f>_xlfn.XLOOKUP(C19,customers!$A$1:$A$1001,customers!$G$1:$G$1001,,0)</f>
        <v>United States</v>
      </c>
      <c r="I19" t="str">
        <f>INDEX(products!$A$1:$G$49,MATCH($D19,products!$A$1:$A$49,0),MATCH(I$1,products!$A$1:$G$1,0))</f>
        <v>Ara</v>
      </c>
      <c r="J19" t="str">
        <f>INDEX(products!$A$1:$G$49,MATCH($D19,products!$A$1:$A$49,0),MATCH(J$1,products!$A$1:$G$1,0))</f>
        <v>L</v>
      </c>
      <c r="K19" s="4">
        <f>INDEX(products!$A$1:$G$49,MATCH($D19,products!$A$1:$A$49,0),MATCH(K$1,products!$A$1:$G$1,0))</f>
        <v>1</v>
      </c>
      <c r="L19" s="5">
        <f>INDEX(products!$A$1:$G$49,MATCH($D19,products!$A$1:$A$49,0),MATCH(L$1,products!$A$1:$G$1,0))</f>
        <v>12.95</v>
      </c>
      <c r="M19" s="5">
        <f t="shared" si="0"/>
        <v>77.699999999999989</v>
      </c>
      <c r="N19" t="str">
        <f t="shared" si="3"/>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f>
        <v>Pall Redford</v>
      </c>
      <c r="G20" s="2" t="str">
        <f>IF(_xlfn.XLOOKUP(C20,customers!$A$1:$A$1001,customers!$C$1:$C$1001,,0)=0,"",_xlfn.XLOOKUP(C20,customers!$A$1:$A$1001,customers!$C$1:$C$1001,,0))</f>
        <v>predfordi@ow.ly</v>
      </c>
      <c r="H20" s="2" t="str">
        <f>_xlfn.XLOOKUP(C20,customers!$A$1:$A$1001,customers!$G$1:$G$1001,,0)</f>
        <v>Ireland</v>
      </c>
      <c r="I20" t="str">
        <f>INDEX(products!$A$1:$G$49,MATCH($D20,products!$A$1:$A$49,0),MATCH(I$1,products!$A$1:$G$1,0))</f>
        <v>Rob</v>
      </c>
      <c r="J20" t="str">
        <f>INDEX(products!$A$1:$G$49,MATCH($D20,products!$A$1:$A$49,0),MATCH(J$1,products!$A$1:$G$1,0))</f>
        <v>D</v>
      </c>
      <c r="K20" s="4">
        <f>INDEX(products!$A$1:$G$49,MATCH($D20,products!$A$1:$A$49,0),MATCH(K$1,products!$A$1:$G$1,0))</f>
        <v>2.5</v>
      </c>
      <c r="L20" s="5">
        <f>INDEX(products!$A$1:$G$49,MATCH($D20,products!$A$1:$A$49,0),MATCH(L$1,products!$A$1:$G$1,0))</f>
        <v>20.584999999999997</v>
      </c>
      <c r="M20" s="5">
        <f t="shared" si="0"/>
        <v>82.339999999999989</v>
      </c>
      <c r="N20" t="str">
        <f t="shared" si="3"/>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INDEX(products!$A$1:$G$49,MATCH($D21,products!$A$1:$A$49,0),MATCH(I$1,products!$A$1:$G$1,0))</f>
        <v>Ara</v>
      </c>
      <c r="J21" t="str">
        <f>INDEX(products!$A$1:$G$49,MATCH($D21,products!$A$1:$A$49,0),MATCH(J$1,products!$A$1:$G$1,0))</f>
        <v>M</v>
      </c>
      <c r="K21" s="4">
        <f>INDEX(products!$A$1:$G$49,MATCH($D21,products!$A$1:$A$49,0),MATCH(K$1,products!$A$1:$G$1,0))</f>
        <v>0.2</v>
      </c>
      <c r="L21" s="5">
        <f>INDEX(products!$A$1:$G$49,MATCH($D21,products!$A$1:$A$49,0),MATCH(L$1,products!$A$1:$G$1,0))</f>
        <v>3.375</v>
      </c>
      <c r="M21" s="5">
        <f t="shared" si="0"/>
        <v>16.875</v>
      </c>
      <c r="N21" t="str">
        <f t="shared" si="3"/>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INDEX(products!$A$1:$G$49,MATCH($D22,products!$A$1:$A$49,0),MATCH(I$1,products!$A$1:$G$1,0))</f>
        <v>Exc</v>
      </c>
      <c r="J22" t="str">
        <f>INDEX(products!$A$1:$G$49,MATCH($D22,products!$A$1:$A$49,0),MATCH(J$1,products!$A$1:$G$1,0))</f>
        <v>D</v>
      </c>
      <c r="K22" s="4">
        <f>INDEX(products!$A$1:$G$49,MATCH($D22,products!$A$1:$A$49,0),MATCH(K$1,products!$A$1:$G$1,0))</f>
        <v>0.2</v>
      </c>
      <c r="L22" s="5">
        <f>INDEX(products!$A$1:$G$49,MATCH($D22,products!$A$1:$A$49,0),MATCH(L$1,products!$A$1:$G$1,0))</f>
        <v>3.645</v>
      </c>
      <c r="M22" s="5">
        <f t="shared" si="0"/>
        <v>14.58</v>
      </c>
      <c r="N22" t="str">
        <f t="shared" si="3"/>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INDEX(products!$A$1:$G$49,MATCH($D23,products!$A$1:$A$49,0),MATCH(I$1,products!$A$1:$G$1,0))</f>
        <v>Ara</v>
      </c>
      <c r="J23" t="str">
        <f>INDEX(products!$A$1:$G$49,MATCH($D23,products!$A$1:$A$49,0),MATCH(J$1,products!$A$1:$G$1,0))</f>
        <v>D</v>
      </c>
      <c r="K23" s="4">
        <f>INDEX(products!$A$1:$G$49,MATCH($D23,products!$A$1:$A$49,0),MATCH(K$1,products!$A$1:$G$1,0))</f>
        <v>0.2</v>
      </c>
      <c r="L23" s="5">
        <f>INDEX(products!$A$1:$G$49,MATCH($D23,products!$A$1:$A$49,0),MATCH(L$1,products!$A$1:$G$1,0))</f>
        <v>2.9849999999999999</v>
      </c>
      <c r="M23" s="5">
        <f t="shared" si="0"/>
        <v>17.91</v>
      </c>
      <c r="N23" t="str">
        <f t="shared" si="3"/>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INDEX(products!$A$1:$G$49,MATCH($D24,products!$A$1:$A$49,0),MATCH(I$1,products!$A$1:$G$1,0))</f>
        <v>Rob</v>
      </c>
      <c r="J24" t="str">
        <f>INDEX(products!$A$1:$G$49,MATCH($D24,products!$A$1:$A$49,0),MATCH(J$1,products!$A$1:$G$1,0))</f>
        <v>M</v>
      </c>
      <c r="K24" s="4">
        <f>INDEX(products!$A$1:$G$49,MATCH($D24,products!$A$1:$A$49,0),MATCH(K$1,products!$A$1:$G$1,0))</f>
        <v>2.5</v>
      </c>
      <c r="L24" s="5">
        <f>INDEX(products!$A$1:$G$49,MATCH($D24,products!$A$1:$A$49,0),MATCH(L$1,products!$A$1:$G$1,0))</f>
        <v>22.884999999999998</v>
      </c>
      <c r="M24" s="5">
        <f t="shared" si="0"/>
        <v>91.539999999999992</v>
      </c>
      <c r="N24" t="str">
        <f t="shared" si="3"/>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INDEX(products!$A$1:$G$49,MATCH($D25,products!$A$1:$A$49,0),MATCH(I$1,products!$A$1:$G$1,0))</f>
        <v>Ara</v>
      </c>
      <c r="J25" t="str">
        <f>INDEX(products!$A$1:$G$49,MATCH($D25,products!$A$1:$A$49,0),MATCH(J$1,products!$A$1:$G$1,0))</f>
        <v>D</v>
      </c>
      <c r="K25" s="4">
        <f>INDEX(products!$A$1:$G$49,MATCH($D25,products!$A$1:$A$49,0),MATCH(K$1,products!$A$1:$G$1,0))</f>
        <v>0.2</v>
      </c>
      <c r="L25" s="5">
        <f>INDEX(products!$A$1:$G$49,MATCH($D25,products!$A$1:$A$49,0),MATCH(L$1,products!$A$1:$G$1,0))</f>
        <v>2.9849999999999999</v>
      </c>
      <c r="M25" s="5">
        <f t="shared" si="0"/>
        <v>11.94</v>
      </c>
      <c r="N25" t="str">
        <f t="shared" si="3"/>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INDEX(products!$A$1:$G$49,MATCH($D26,products!$A$1:$A$49,0),MATCH(I$1,products!$A$1:$G$1,0))</f>
        <v>Ara</v>
      </c>
      <c r="J26" t="str">
        <f>INDEX(products!$A$1:$G$49,MATCH($D26,products!$A$1:$A$49,0),MATCH(J$1,products!$A$1:$G$1,0))</f>
        <v>M</v>
      </c>
      <c r="K26" s="4">
        <f>INDEX(products!$A$1:$G$49,MATCH($D26,products!$A$1:$A$49,0),MATCH(K$1,products!$A$1:$G$1,0))</f>
        <v>1</v>
      </c>
      <c r="L26" s="5">
        <f>INDEX(products!$A$1:$G$49,MATCH($D26,products!$A$1:$A$49,0),MATCH(L$1,products!$A$1:$G$1,0))</f>
        <v>11.25</v>
      </c>
      <c r="M26" s="5">
        <f t="shared" si="0"/>
        <v>11.25</v>
      </c>
      <c r="N26" t="str">
        <f t="shared" si="3"/>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f>
        <v>Culley Farris</v>
      </c>
      <c r="G27" s="2" t="str">
        <f>IF(_xlfn.XLOOKUP(C27,customers!$A$1:$A$1001,customers!$C$1:$C$1001,,0)=0,"",_xlfn.XLOOKUP(C27,customers!$A$1:$A$1001,customers!$C$1:$C$1001,,0))</f>
        <v/>
      </c>
      <c r="H27" s="2" t="str">
        <f>_xlfn.XLOOKUP(C27,customers!$A$1:$A$1001,customers!$G$1:$G$1001,,0)</f>
        <v>United States</v>
      </c>
      <c r="I27" t="str">
        <f>INDEX(products!$A$1:$G$49,MATCH($D27,products!$A$1:$A$49,0),MATCH(I$1,products!$A$1:$G$1,0))</f>
        <v>Exc</v>
      </c>
      <c r="J27" t="str">
        <f>INDEX(products!$A$1:$G$49,MATCH($D27,products!$A$1:$A$49,0),MATCH(J$1,products!$A$1:$G$1,0))</f>
        <v>M</v>
      </c>
      <c r="K27" s="4">
        <f>INDEX(products!$A$1:$G$49,MATCH($D27,products!$A$1:$A$49,0),MATCH(K$1,products!$A$1:$G$1,0))</f>
        <v>0.2</v>
      </c>
      <c r="L27" s="5">
        <f>INDEX(products!$A$1:$G$49,MATCH($D27,products!$A$1:$A$49,0),MATCH(L$1,products!$A$1:$G$1,0))</f>
        <v>4.125</v>
      </c>
      <c r="M27" s="5">
        <f t="shared" si="0"/>
        <v>12.375</v>
      </c>
      <c r="N27" t="str">
        <f t="shared" si="3"/>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f>
        <v>Selene Shales</v>
      </c>
      <c r="G28" s="2" t="str">
        <f>IF(_xlfn.XLOOKUP(C28,customers!$A$1:$A$1001,customers!$C$1:$C$1001,,0)=0,"",_xlfn.XLOOKUP(C28,customers!$A$1:$A$1001,customers!$C$1:$C$1001,,0))</f>
        <v>sshalesq@umich.edu</v>
      </c>
      <c r="H28" s="2" t="str">
        <f>_xlfn.XLOOKUP(C28,customers!$A$1:$A$1001,customers!$G$1:$G$1001,,0)</f>
        <v>United States</v>
      </c>
      <c r="I28" t="str">
        <f>INDEX(products!$A$1:$G$49,MATCH($D28,products!$A$1:$A$49,0),MATCH(I$1,products!$A$1:$G$1,0))</f>
        <v>Ara</v>
      </c>
      <c r="J28" t="str">
        <f>INDEX(products!$A$1:$G$49,MATCH($D28,products!$A$1:$A$49,0),MATCH(J$1,products!$A$1:$G$1,0))</f>
        <v>M</v>
      </c>
      <c r="K28" s="4">
        <f>INDEX(products!$A$1:$G$49,MATCH($D28,products!$A$1:$A$49,0),MATCH(K$1,products!$A$1:$G$1,0))</f>
        <v>0.5</v>
      </c>
      <c r="L28" s="5">
        <f>INDEX(products!$A$1:$G$49,MATCH($D28,products!$A$1:$A$49,0),MATCH(L$1,products!$A$1:$G$1,0))</f>
        <v>6.75</v>
      </c>
      <c r="M28" s="5">
        <f t="shared" si="0"/>
        <v>27</v>
      </c>
      <c r="N28" t="str">
        <f t="shared" si="3"/>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f>
        <v>Vivie Danneil</v>
      </c>
      <c r="G29" s="2" t="str">
        <f>IF(_xlfn.XLOOKUP(C29,customers!$A$1:$A$1001,customers!$C$1:$C$1001,,0)=0,"",_xlfn.XLOOKUP(C29,customers!$A$1:$A$1001,customers!$C$1:$C$1001,,0))</f>
        <v>vdanneilr@mtv.com</v>
      </c>
      <c r="H29" s="2" t="str">
        <f>_xlfn.XLOOKUP(C29,customers!$A$1:$A$1001,customers!$G$1:$G$1001,,0)</f>
        <v>Ireland</v>
      </c>
      <c r="I29" t="str">
        <f>INDEX(products!$A$1:$G$49,MATCH($D29,products!$A$1:$A$49,0),MATCH(I$1,products!$A$1:$G$1,0))</f>
        <v>Ara</v>
      </c>
      <c r="J29" t="str">
        <f>INDEX(products!$A$1:$G$49,MATCH($D29,products!$A$1:$A$49,0),MATCH(J$1,products!$A$1:$G$1,0))</f>
        <v>M</v>
      </c>
      <c r="K29" s="4">
        <f>INDEX(products!$A$1:$G$49,MATCH($D29,products!$A$1:$A$49,0),MATCH(K$1,products!$A$1:$G$1,0))</f>
        <v>0.2</v>
      </c>
      <c r="L29" s="5">
        <f>INDEX(products!$A$1:$G$49,MATCH($D29,products!$A$1:$A$49,0),MATCH(L$1,products!$A$1:$G$1,0))</f>
        <v>3.375</v>
      </c>
      <c r="M29" s="5">
        <f t="shared" si="0"/>
        <v>16.875</v>
      </c>
      <c r="N29" t="str">
        <f t="shared" si="3"/>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f>
        <v>Theresita Newbury</v>
      </c>
      <c r="G30" s="2" t="str">
        <f>IF(_xlfn.XLOOKUP(C30,customers!$A$1:$A$1001,customers!$C$1:$C$1001,,0)=0,"",_xlfn.XLOOKUP(C30,customers!$A$1:$A$1001,customers!$C$1:$C$1001,,0))</f>
        <v>tnewburys@usda.gov</v>
      </c>
      <c r="H30" s="2" t="str">
        <f>_xlfn.XLOOKUP(C30,customers!$A$1:$A$1001,customers!$G$1:$G$1001,,0)</f>
        <v>Ireland</v>
      </c>
      <c r="I30" t="str">
        <f>INDEX(products!$A$1:$G$49,MATCH($D30,products!$A$1:$A$49,0),MATCH(I$1,products!$A$1:$G$1,0))</f>
        <v>Ara</v>
      </c>
      <c r="J30" t="str">
        <f>INDEX(products!$A$1:$G$49,MATCH($D30,products!$A$1:$A$49,0),MATCH(J$1,products!$A$1:$G$1,0))</f>
        <v>D</v>
      </c>
      <c r="K30" s="4">
        <f>INDEX(products!$A$1:$G$49,MATCH($D30,products!$A$1:$A$49,0),MATCH(K$1,products!$A$1:$G$1,0))</f>
        <v>0.5</v>
      </c>
      <c r="L30" s="5">
        <f>INDEX(products!$A$1:$G$49,MATCH($D30,products!$A$1:$A$49,0),MATCH(L$1,products!$A$1:$G$1,0))</f>
        <v>5.97</v>
      </c>
      <c r="M30" s="5">
        <f t="shared" si="0"/>
        <v>17.91</v>
      </c>
      <c r="N30" t="str">
        <f t="shared" si="3"/>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f>
        <v>Mozelle Calcutt</v>
      </c>
      <c r="G31" s="2" t="str">
        <f>IF(_xlfn.XLOOKUP(C31,customers!$A$1:$A$1001,customers!$C$1:$C$1001,,0)=0,"",_xlfn.XLOOKUP(C31,customers!$A$1:$A$1001,customers!$C$1:$C$1001,,0))</f>
        <v>mcalcuttt@baidu.com</v>
      </c>
      <c r="H31" s="2" t="str">
        <f>_xlfn.XLOOKUP(C31,customers!$A$1:$A$1001,customers!$G$1:$G$1001,,0)</f>
        <v>Ireland</v>
      </c>
      <c r="I31" t="str">
        <f>INDEX(products!$A$1:$G$49,MATCH($D31,products!$A$1:$A$49,0),MATCH(I$1,products!$A$1:$G$1,0))</f>
        <v>Ara</v>
      </c>
      <c r="J31" t="str">
        <f>INDEX(products!$A$1:$G$49,MATCH($D31,products!$A$1:$A$49,0),MATCH(J$1,products!$A$1:$G$1,0))</f>
        <v>D</v>
      </c>
      <c r="K31" s="4">
        <f>INDEX(products!$A$1:$G$49,MATCH($D31,products!$A$1:$A$49,0),MATCH(K$1,products!$A$1:$G$1,0))</f>
        <v>1</v>
      </c>
      <c r="L31" s="5">
        <f>INDEX(products!$A$1:$G$49,MATCH($D31,products!$A$1:$A$49,0),MATCH(L$1,products!$A$1:$G$1,0))</f>
        <v>9.9499999999999993</v>
      </c>
      <c r="M31" s="5">
        <f t="shared" si="0"/>
        <v>39.799999999999997</v>
      </c>
      <c r="N31" t="str">
        <f t="shared" si="3"/>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f>
        <v>Adrian Swaine</v>
      </c>
      <c r="G32" s="2" t="str">
        <f>IF(_xlfn.XLOOKUP(C32,customers!$A$1:$A$1001,customers!$C$1:$C$1001,,0)=0,"",_xlfn.XLOOKUP(C32,customers!$A$1:$A$1001,customers!$C$1:$C$1001,,0))</f>
        <v/>
      </c>
      <c r="H32" s="2" t="str">
        <f>_xlfn.XLOOKUP(C32,customers!$A$1:$A$1001,customers!$G$1:$G$1001,,0)</f>
        <v>United States</v>
      </c>
      <c r="I32" t="str">
        <f>INDEX(products!$A$1:$G$49,MATCH($D32,products!$A$1:$A$49,0),MATCH(I$1,products!$A$1:$G$1,0))</f>
        <v>Lib</v>
      </c>
      <c r="J32" t="str">
        <f>INDEX(products!$A$1:$G$49,MATCH($D32,products!$A$1:$A$49,0),MATCH(J$1,products!$A$1:$G$1,0))</f>
        <v>M</v>
      </c>
      <c r="K32" s="4">
        <f>INDEX(products!$A$1:$G$49,MATCH($D32,products!$A$1:$A$49,0),MATCH(K$1,products!$A$1:$G$1,0))</f>
        <v>0.2</v>
      </c>
      <c r="L32" s="5">
        <f>INDEX(products!$A$1:$G$49,MATCH($D32,products!$A$1:$A$49,0),MATCH(L$1,products!$A$1:$G$1,0))</f>
        <v>4.3650000000000002</v>
      </c>
      <c r="M32" s="5">
        <f t="shared" si="0"/>
        <v>21.825000000000003</v>
      </c>
      <c r="N32" t="str">
        <f t="shared" si="3"/>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f>
        <v>Adrian Swaine</v>
      </c>
      <c r="G33" s="2" t="str">
        <f>IF(_xlfn.XLOOKUP(C33,customers!$A$1:$A$1001,customers!$C$1:$C$1001,,0)=0,"",_xlfn.XLOOKUP(C33,customers!$A$1:$A$1001,customers!$C$1:$C$1001,,0))</f>
        <v/>
      </c>
      <c r="H33" s="2" t="str">
        <f>_xlfn.XLOOKUP(C33,customers!$A$1:$A$1001,customers!$G$1:$G$1001,,0)</f>
        <v>United States</v>
      </c>
      <c r="I33" t="str">
        <f>INDEX(products!$A$1:$G$49,MATCH($D33,products!$A$1:$A$49,0),MATCH(I$1,products!$A$1:$G$1,0))</f>
        <v>Ara</v>
      </c>
      <c r="J33" t="str">
        <f>INDEX(products!$A$1:$G$49,MATCH($D33,products!$A$1:$A$49,0),MATCH(J$1,products!$A$1:$G$1,0))</f>
        <v>D</v>
      </c>
      <c r="K33" s="4">
        <f>INDEX(products!$A$1:$G$49,MATCH($D33,products!$A$1:$A$49,0),MATCH(K$1,products!$A$1:$G$1,0))</f>
        <v>0.5</v>
      </c>
      <c r="L33" s="5">
        <f>INDEX(products!$A$1:$G$49,MATCH($D33,products!$A$1:$A$49,0),MATCH(L$1,products!$A$1:$G$1,0))</f>
        <v>5.97</v>
      </c>
      <c r="M33" s="5">
        <f t="shared" si="0"/>
        <v>35.82</v>
      </c>
      <c r="N33" t="str">
        <f t="shared" si="3"/>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f>
        <v>Adrian Swaine</v>
      </c>
      <c r="G34" s="2" t="str">
        <f>IF(_xlfn.XLOOKUP(C34,customers!$A$1:$A$1001,customers!$C$1:$C$1001,,0)=0,"",_xlfn.XLOOKUP(C34,customers!$A$1:$A$1001,customers!$C$1:$C$1001,,0))</f>
        <v/>
      </c>
      <c r="H34" s="2" t="str">
        <f>_xlfn.XLOOKUP(C34,customers!$A$1:$A$1001,customers!$G$1:$G$1001,,0)</f>
        <v>United States</v>
      </c>
      <c r="I34" t="str">
        <f>INDEX(products!$A$1:$G$49,MATCH($D34,products!$A$1:$A$49,0),MATCH(I$1,products!$A$1:$G$1,0))</f>
        <v>Lib</v>
      </c>
      <c r="J34" t="str">
        <f>INDEX(products!$A$1:$G$49,MATCH($D34,products!$A$1:$A$49,0),MATCH(J$1,products!$A$1:$G$1,0))</f>
        <v>M</v>
      </c>
      <c r="K34" s="4">
        <f>INDEX(products!$A$1:$G$49,MATCH($D34,products!$A$1:$A$49,0),MATCH(K$1,products!$A$1:$G$1,0))</f>
        <v>0.5</v>
      </c>
      <c r="L34" s="5">
        <f>INDEX(products!$A$1:$G$49,MATCH($D34,products!$A$1:$A$49,0),MATCH(L$1,products!$A$1:$G$1,0))</f>
        <v>8.73</v>
      </c>
      <c r="M34" s="5">
        <f t="shared" si="0"/>
        <v>52.38</v>
      </c>
      <c r="N34" t="str">
        <f t="shared" si="3"/>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INDEX(products!$A$1:$G$49,MATCH($D35,products!$A$1:$A$49,0),MATCH(I$1,products!$A$1:$G$1,0))</f>
        <v>Lib</v>
      </c>
      <c r="J35" t="str">
        <f>INDEX(products!$A$1:$G$49,MATCH($D35,products!$A$1:$A$49,0),MATCH(J$1,products!$A$1:$G$1,0))</f>
        <v>L</v>
      </c>
      <c r="K35" s="4">
        <f>INDEX(products!$A$1:$G$49,MATCH($D35,products!$A$1:$A$49,0),MATCH(K$1,products!$A$1:$G$1,0))</f>
        <v>0.2</v>
      </c>
      <c r="L35" s="5">
        <f>INDEX(products!$A$1:$G$49,MATCH($D35,products!$A$1:$A$49,0),MATCH(L$1,products!$A$1:$G$1,0))</f>
        <v>4.7549999999999999</v>
      </c>
      <c r="M35" s="5">
        <f t="shared" si="0"/>
        <v>23.774999999999999</v>
      </c>
      <c r="N35" t="str">
        <f t="shared" si="3"/>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INDEX(products!$A$1:$G$49,MATCH($D36,products!$A$1:$A$49,0),MATCH(I$1,products!$A$1:$G$1,0))</f>
        <v>Lib</v>
      </c>
      <c r="J36" t="str">
        <f>INDEX(products!$A$1:$G$49,MATCH($D36,products!$A$1:$A$49,0),MATCH(J$1,products!$A$1:$G$1,0))</f>
        <v>L</v>
      </c>
      <c r="K36" s="4">
        <f>INDEX(products!$A$1:$G$49,MATCH($D36,products!$A$1:$A$49,0),MATCH(K$1,products!$A$1:$G$1,0))</f>
        <v>0.5</v>
      </c>
      <c r="L36" s="5">
        <f>INDEX(products!$A$1:$G$49,MATCH($D36,products!$A$1:$A$49,0),MATCH(L$1,products!$A$1:$G$1,0))</f>
        <v>9.51</v>
      </c>
      <c r="M36" s="5">
        <f t="shared" si="0"/>
        <v>57.06</v>
      </c>
      <c r="N36" t="str">
        <f t="shared" si="3"/>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f>
        <v>Faber Eilhart</v>
      </c>
      <c r="G37" s="2" t="str">
        <f>IF(_xlfn.XLOOKUP(C37,customers!$A$1:$A$1001,customers!$C$1:$C$1001,,0)=0,"",_xlfn.XLOOKUP(C37,customers!$A$1:$A$1001,customers!$C$1:$C$1001,,0))</f>
        <v>feilhartz@who.int</v>
      </c>
      <c r="H37" s="2" t="str">
        <f>_xlfn.XLOOKUP(C37,customers!$A$1:$A$1001,customers!$G$1:$G$1001,,0)</f>
        <v>United States</v>
      </c>
      <c r="I37" t="str">
        <f>INDEX(products!$A$1:$G$49,MATCH($D37,products!$A$1:$A$49,0),MATCH(I$1,products!$A$1:$G$1,0))</f>
        <v>Ara</v>
      </c>
      <c r="J37" t="str">
        <f>INDEX(products!$A$1:$G$49,MATCH($D37,products!$A$1:$A$49,0),MATCH(J$1,products!$A$1:$G$1,0))</f>
        <v>D</v>
      </c>
      <c r="K37" s="4">
        <f>INDEX(products!$A$1:$G$49,MATCH($D37,products!$A$1:$A$49,0),MATCH(K$1,products!$A$1:$G$1,0))</f>
        <v>0.5</v>
      </c>
      <c r="L37" s="5">
        <f>INDEX(products!$A$1:$G$49,MATCH($D37,products!$A$1:$A$49,0),MATCH(L$1,products!$A$1:$G$1,0))</f>
        <v>5.97</v>
      </c>
      <c r="M37" s="5">
        <f t="shared" si="0"/>
        <v>35.82</v>
      </c>
      <c r="N37" t="str">
        <f t="shared" si="3"/>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INDEX(products!$A$1:$G$49,MATCH($D38,products!$A$1:$A$49,0),MATCH(I$1,products!$A$1:$G$1,0))</f>
        <v>Lib</v>
      </c>
      <c r="J38" t="str">
        <f>INDEX(products!$A$1:$G$49,MATCH($D38,products!$A$1:$A$49,0),MATCH(J$1,products!$A$1:$G$1,0))</f>
        <v>M</v>
      </c>
      <c r="K38" s="4">
        <f>INDEX(products!$A$1:$G$49,MATCH($D38,products!$A$1:$A$49,0),MATCH(K$1,products!$A$1:$G$1,0))</f>
        <v>0.2</v>
      </c>
      <c r="L38" s="5">
        <f>INDEX(products!$A$1:$G$49,MATCH($D38,products!$A$1:$A$49,0),MATCH(L$1,products!$A$1:$G$1,0))</f>
        <v>4.3650000000000002</v>
      </c>
      <c r="M38" s="5">
        <f t="shared" si="0"/>
        <v>8.73</v>
      </c>
      <c r="N38" t="str">
        <f t="shared" si="3"/>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INDEX(products!$A$1:$G$49,MATCH($D39,products!$A$1:$A$49,0),MATCH(I$1,products!$A$1:$G$1,0))</f>
        <v>Lib</v>
      </c>
      <c r="J39" t="str">
        <f>INDEX(products!$A$1:$G$49,MATCH($D39,products!$A$1:$A$49,0),MATCH(J$1,products!$A$1:$G$1,0))</f>
        <v>L</v>
      </c>
      <c r="K39" s="4">
        <f>INDEX(products!$A$1:$G$49,MATCH($D39,products!$A$1:$A$49,0),MATCH(K$1,products!$A$1:$G$1,0))</f>
        <v>0.5</v>
      </c>
      <c r="L39" s="5">
        <f>INDEX(products!$A$1:$G$49,MATCH($D39,products!$A$1:$A$49,0),MATCH(L$1,products!$A$1:$G$1,0))</f>
        <v>9.51</v>
      </c>
      <c r="M39" s="5">
        <f t="shared" si="0"/>
        <v>28.53</v>
      </c>
      <c r="N39" t="str">
        <f t="shared" si="3"/>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INDEX(products!$A$1:$G$49,MATCH($D40,products!$A$1:$A$49,0),MATCH(I$1,products!$A$1:$G$1,0))</f>
        <v>Rob</v>
      </c>
      <c r="J40" t="str">
        <f>INDEX(products!$A$1:$G$49,MATCH($D40,products!$A$1:$A$49,0),MATCH(J$1,products!$A$1:$G$1,0))</f>
        <v>M</v>
      </c>
      <c r="K40" s="4">
        <f>INDEX(products!$A$1:$G$49,MATCH($D40,products!$A$1:$A$49,0),MATCH(K$1,products!$A$1:$G$1,0))</f>
        <v>2.5</v>
      </c>
      <c r="L40" s="5">
        <f>INDEX(products!$A$1:$G$49,MATCH($D40,products!$A$1:$A$49,0),MATCH(L$1,products!$A$1:$G$1,0))</f>
        <v>22.884999999999998</v>
      </c>
      <c r="M40" s="5">
        <f t="shared" si="0"/>
        <v>114.42499999999998</v>
      </c>
      <c r="N40" t="str">
        <f t="shared" si="3"/>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f>
        <v>Hy Zanetto</v>
      </c>
      <c r="G41" s="2" t="str">
        <f>IF(_xlfn.XLOOKUP(C41,customers!$A$1:$A$1001,customers!$C$1:$C$1001,,0)=0,"",_xlfn.XLOOKUP(C41,customers!$A$1:$A$1001,customers!$C$1:$C$1001,,0))</f>
        <v/>
      </c>
      <c r="H41" s="2" t="str">
        <f>_xlfn.XLOOKUP(C41,customers!$A$1:$A$1001,customers!$G$1:$G$1001,,0)</f>
        <v>United States</v>
      </c>
      <c r="I41" t="str">
        <f>INDEX(products!$A$1:$G$49,MATCH($D41,products!$A$1:$A$49,0),MATCH(I$1,products!$A$1:$G$1,0))</f>
        <v>Rob</v>
      </c>
      <c r="J41" t="str">
        <f>INDEX(products!$A$1:$G$49,MATCH($D41,products!$A$1:$A$49,0),MATCH(J$1,products!$A$1:$G$1,0))</f>
        <v>M</v>
      </c>
      <c r="K41" s="4">
        <f>INDEX(products!$A$1:$G$49,MATCH($D41,products!$A$1:$A$49,0),MATCH(K$1,products!$A$1:$G$1,0))</f>
        <v>1</v>
      </c>
      <c r="L41" s="5">
        <f>INDEX(products!$A$1:$G$49,MATCH($D41,products!$A$1:$A$49,0),MATCH(L$1,products!$A$1:$G$1,0))</f>
        <v>9.9499999999999993</v>
      </c>
      <c r="M41" s="5">
        <f t="shared" si="0"/>
        <v>59.699999999999996</v>
      </c>
      <c r="N41" t="str">
        <f t="shared" si="3"/>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f>
        <v>Jessica McNess</v>
      </c>
      <c r="G42" s="2" t="str">
        <f>IF(_xlfn.XLOOKUP(C42,customers!$A$1:$A$1001,customers!$C$1:$C$1001,,0)=0,"",_xlfn.XLOOKUP(C42,customers!$A$1:$A$1001,customers!$C$1:$C$1001,,0))</f>
        <v/>
      </c>
      <c r="H42" s="2" t="str">
        <f>_xlfn.XLOOKUP(C42,customers!$A$1:$A$1001,customers!$G$1:$G$1001,,0)</f>
        <v>United States</v>
      </c>
      <c r="I42" t="str">
        <f>INDEX(products!$A$1:$G$49,MATCH($D42,products!$A$1:$A$49,0),MATCH(I$1,products!$A$1:$G$1,0))</f>
        <v>Lib</v>
      </c>
      <c r="J42" t="str">
        <f>INDEX(products!$A$1:$G$49,MATCH($D42,products!$A$1:$A$49,0),MATCH(J$1,products!$A$1:$G$1,0))</f>
        <v>M</v>
      </c>
      <c r="K42" s="4">
        <f>INDEX(products!$A$1:$G$49,MATCH($D42,products!$A$1:$A$49,0),MATCH(K$1,products!$A$1:$G$1,0))</f>
        <v>1</v>
      </c>
      <c r="L42" s="5">
        <f>INDEX(products!$A$1:$G$49,MATCH($D42,products!$A$1:$A$49,0),MATCH(L$1,products!$A$1:$G$1,0))</f>
        <v>14.55</v>
      </c>
      <c r="M42" s="5">
        <f t="shared" si="0"/>
        <v>43.650000000000006</v>
      </c>
      <c r="N42" t="str">
        <f t="shared" si="3"/>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INDEX(products!$A$1:$G$49,MATCH($D43,products!$A$1:$A$49,0),MATCH(I$1,products!$A$1:$G$1,0))</f>
        <v>Exc</v>
      </c>
      <c r="J43" t="str">
        <f>INDEX(products!$A$1:$G$49,MATCH($D43,products!$A$1:$A$49,0),MATCH(J$1,products!$A$1:$G$1,0))</f>
        <v>D</v>
      </c>
      <c r="K43" s="4">
        <f>INDEX(products!$A$1:$G$49,MATCH($D43,products!$A$1:$A$49,0),MATCH(K$1,products!$A$1:$G$1,0))</f>
        <v>0.2</v>
      </c>
      <c r="L43" s="5">
        <f>INDEX(products!$A$1:$G$49,MATCH($D43,products!$A$1:$A$49,0),MATCH(L$1,products!$A$1:$G$1,0))</f>
        <v>3.645</v>
      </c>
      <c r="M43" s="5">
        <f t="shared" si="0"/>
        <v>7.29</v>
      </c>
      <c r="N43" t="str">
        <f t="shared" si="3"/>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INDEX(products!$A$1:$G$49,MATCH($D44,products!$A$1:$A$49,0),MATCH(I$1,products!$A$1:$G$1,0))</f>
        <v>Rob</v>
      </c>
      <c r="J44" t="str">
        <f>INDEX(products!$A$1:$G$49,MATCH($D44,products!$A$1:$A$49,0),MATCH(J$1,products!$A$1:$G$1,0))</f>
        <v>D</v>
      </c>
      <c r="K44" s="4">
        <f>INDEX(products!$A$1:$G$49,MATCH($D44,products!$A$1:$A$49,0),MATCH(K$1,products!$A$1:$G$1,0))</f>
        <v>0.2</v>
      </c>
      <c r="L44" s="5">
        <f>INDEX(products!$A$1:$G$49,MATCH($D44,products!$A$1:$A$49,0),MATCH(L$1,products!$A$1:$G$1,0))</f>
        <v>2.6849999999999996</v>
      </c>
      <c r="M44" s="5">
        <f t="shared" si="0"/>
        <v>8.0549999999999997</v>
      </c>
      <c r="N44" t="str">
        <f t="shared" si="3"/>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f>
        <v>Maurie Bartol</v>
      </c>
      <c r="G45" s="2" t="str">
        <f>IF(_xlfn.XLOOKUP(C45,customers!$A$1:$A$1001,customers!$C$1:$C$1001,,0)=0,"",_xlfn.XLOOKUP(C45,customers!$A$1:$A$1001,customers!$C$1:$C$1001,,0))</f>
        <v/>
      </c>
      <c r="H45" s="2" t="str">
        <f>_xlfn.XLOOKUP(C45,customers!$A$1:$A$1001,customers!$G$1:$G$1001,,0)</f>
        <v>United States</v>
      </c>
      <c r="I45" t="str">
        <f>INDEX(products!$A$1:$G$49,MATCH($D45,products!$A$1:$A$49,0),MATCH(I$1,products!$A$1:$G$1,0))</f>
        <v>Lib</v>
      </c>
      <c r="J45" t="str">
        <f>INDEX(products!$A$1:$G$49,MATCH($D45,products!$A$1:$A$49,0),MATCH(J$1,products!$A$1:$G$1,0))</f>
        <v>L</v>
      </c>
      <c r="K45" s="4">
        <f>INDEX(products!$A$1:$G$49,MATCH($D45,products!$A$1:$A$49,0),MATCH(K$1,products!$A$1:$G$1,0))</f>
        <v>2.5</v>
      </c>
      <c r="L45" s="5">
        <f>INDEX(products!$A$1:$G$49,MATCH($D45,products!$A$1:$A$49,0),MATCH(L$1,products!$A$1:$G$1,0))</f>
        <v>36.454999999999998</v>
      </c>
      <c r="M45" s="5">
        <f t="shared" si="0"/>
        <v>72.91</v>
      </c>
      <c r="N45" t="str">
        <f t="shared" si="3"/>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INDEX(products!$A$1:$G$49,MATCH($D46,products!$A$1:$A$49,0),MATCH(I$1,products!$A$1:$G$1,0))</f>
        <v>Exc</v>
      </c>
      <c r="J46" t="str">
        <f>INDEX(products!$A$1:$G$49,MATCH($D46,products!$A$1:$A$49,0),MATCH(J$1,products!$A$1:$G$1,0))</f>
        <v>M</v>
      </c>
      <c r="K46" s="4">
        <f>INDEX(products!$A$1:$G$49,MATCH($D46,products!$A$1:$A$49,0),MATCH(K$1,products!$A$1:$G$1,0))</f>
        <v>0.5</v>
      </c>
      <c r="L46" s="5">
        <f>INDEX(products!$A$1:$G$49,MATCH($D46,products!$A$1:$A$49,0),MATCH(L$1,products!$A$1:$G$1,0))</f>
        <v>8.25</v>
      </c>
      <c r="M46" s="5">
        <f t="shared" si="0"/>
        <v>16.5</v>
      </c>
      <c r="N46" t="str">
        <f t="shared" si="3"/>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INDEX(products!$A$1:$G$49,MATCH($D47,products!$A$1:$A$49,0),MATCH(I$1,products!$A$1:$G$1,0))</f>
        <v>Lib</v>
      </c>
      <c r="J47" t="str">
        <f>INDEX(products!$A$1:$G$49,MATCH($D47,products!$A$1:$A$49,0),MATCH(J$1,products!$A$1:$G$1,0))</f>
        <v>D</v>
      </c>
      <c r="K47" s="4">
        <f>INDEX(products!$A$1:$G$49,MATCH($D47,products!$A$1:$A$49,0),MATCH(K$1,products!$A$1:$G$1,0))</f>
        <v>2.5</v>
      </c>
      <c r="L47" s="5">
        <f>INDEX(products!$A$1:$G$49,MATCH($D47,products!$A$1:$A$49,0),MATCH(L$1,products!$A$1:$G$1,0))</f>
        <v>29.784999999999997</v>
      </c>
      <c r="M47" s="5">
        <f t="shared" si="0"/>
        <v>178.70999999999998</v>
      </c>
      <c r="N47" t="str">
        <f t="shared" si="3"/>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f>
        <v>Donna Baskeyfied</v>
      </c>
      <c r="G48" s="2" t="str">
        <f>IF(_xlfn.XLOOKUP(C48,customers!$A$1:$A$1001,customers!$C$1:$C$1001,,0)=0,"",_xlfn.XLOOKUP(C48,customers!$A$1:$A$1001,customers!$C$1:$C$1001,,0))</f>
        <v/>
      </c>
      <c r="H48" s="2" t="str">
        <f>_xlfn.XLOOKUP(C48,customers!$A$1:$A$1001,customers!$G$1:$G$1001,,0)</f>
        <v>United States</v>
      </c>
      <c r="I48" t="str">
        <f>INDEX(products!$A$1:$G$49,MATCH($D48,products!$A$1:$A$49,0),MATCH(I$1,products!$A$1:$G$1,0))</f>
        <v>Exc</v>
      </c>
      <c r="J48" t="str">
        <f>INDEX(products!$A$1:$G$49,MATCH($D48,products!$A$1:$A$49,0),MATCH(J$1,products!$A$1:$G$1,0))</f>
        <v>M</v>
      </c>
      <c r="K48" s="4">
        <f>INDEX(products!$A$1:$G$49,MATCH($D48,products!$A$1:$A$49,0),MATCH(K$1,products!$A$1:$G$1,0))</f>
        <v>2.5</v>
      </c>
      <c r="L48" s="5">
        <f>INDEX(products!$A$1:$G$49,MATCH($D48,products!$A$1:$A$49,0),MATCH(L$1,products!$A$1:$G$1,0))</f>
        <v>31.624999999999996</v>
      </c>
      <c r="M48" s="5">
        <f t="shared" si="0"/>
        <v>63.249999999999993</v>
      </c>
      <c r="N48" t="str">
        <f t="shared" si="3"/>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f>
        <v>Arda Curley</v>
      </c>
      <c r="G49" s="2" t="str">
        <f>IF(_xlfn.XLOOKUP(C49,customers!$A$1:$A$1001,customers!$C$1:$C$1001,,0)=0,"",_xlfn.XLOOKUP(C49,customers!$A$1:$A$1001,customers!$C$1:$C$1001,,0))</f>
        <v>acurley1b@hao123.com</v>
      </c>
      <c r="H49" s="2" t="str">
        <f>_xlfn.XLOOKUP(C49,customers!$A$1:$A$1001,customers!$G$1:$G$1001,,0)</f>
        <v>United States</v>
      </c>
      <c r="I49" t="str">
        <f>INDEX(products!$A$1:$G$49,MATCH($D49,products!$A$1:$A$49,0),MATCH(I$1,products!$A$1:$G$1,0))</f>
        <v>Ara</v>
      </c>
      <c r="J49" t="str">
        <f>INDEX(products!$A$1:$G$49,MATCH($D49,products!$A$1:$A$49,0),MATCH(J$1,products!$A$1:$G$1,0))</f>
        <v>L</v>
      </c>
      <c r="K49" s="4">
        <f>INDEX(products!$A$1:$G$49,MATCH($D49,products!$A$1:$A$49,0),MATCH(K$1,products!$A$1:$G$1,0))</f>
        <v>0.2</v>
      </c>
      <c r="L49" s="5">
        <f>INDEX(products!$A$1:$G$49,MATCH($D49,products!$A$1:$A$49,0),MATCH(L$1,products!$A$1:$G$1,0))</f>
        <v>3.8849999999999998</v>
      </c>
      <c r="M49" s="5">
        <f t="shared" si="0"/>
        <v>7.77</v>
      </c>
      <c r="N49" t="str">
        <f t="shared" si="3"/>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INDEX(products!$A$1:$G$49,MATCH($D50,products!$A$1:$A$49,0),MATCH(I$1,products!$A$1:$G$1,0))</f>
        <v>Ara</v>
      </c>
      <c r="J50" t="str">
        <f>INDEX(products!$A$1:$G$49,MATCH($D50,products!$A$1:$A$49,0),MATCH(J$1,products!$A$1:$G$1,0))</f>
        <v>D</v>
      </c>
      <c r="K50" s="4">
        <f>INDEX(products!$A$1:$G$49,MATCH($D50,products!$A$1:$A$49,0),MATCH(K$1,products!$A$1:$G$1,0))</f>
        <v>2.5</v>
      </c>
      <c r="L50" s="5">
        <f>INDEX(products!$A$1:$G$49,MATCH($D50,products!$A$1:$A$49,0),MATCH(L$1,products!$A$1:$G$1,0))</f>
        <v>22.884999999999998</v>
      </c>
      <c r="M50" s="5">
        <f t="shared" si="0"/>
        <v>91.539999999999992</v>
      </c>
      <c r="N50" t="str">
        <f t="shared" si="3"/>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INDEX(products!$A$1:$G$49,MATCH($D51,products!$A$1:$A$49,0),MATCH(I$1,products!$A$1:$G$1,0))</f>
        <v>Ara</v>
      </c>
      <c r="J51" t="str">
        <f>INDEX(products!$A$1:$G$49,MATCH($D51,products!$A$1:$A$49,0),MATCH(J$1,products!$A$1:$G$1,0))</f>
        <v>L</v>
      </c>
      <c r="K51" s="4">
        <f>INDEX(products!$A$1:$G$49,MATCH($D51,products!$A$1:$A$49,0),MATCH(K$1,products!$A$1:$G$1,0))</f>
        <v>1</v>
      </c>
      <c r="L51" s="5">
        <f>INDEX(products!$A$1:$G$49,MATCH($D51,products!$A$1:$A$49,0),MATCH(L$1,products!$A$1:$G$1,0))</f>
        <v>12.95</v>
      </c>
      <c r="M51" s="5">
        <f t="shared" si="0"/>
        <v>38.849999999999994</v>
      </c>
      <c r="N51" t="str">
        <f t="shared" si="3"/>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INDEX(products!$A$1:$G$49,MATCH($D52,products!$A$1:$A$49,0),MATCH(I$1,products!$A$1:$G$1,0))</f>
        <v>Lib</v>
      </c>
      <c r="J52" t="str">
        <f>INDEX(products!$A$1:$G$49,MATCH($D52,products!$A$1:$A$49,0),MATCH(J$1,products!$A$1:$G$1,0))</f>
        <v>D</v>
      </c>
      <c r="K52" s="4">
        <f>INDEX(products!$A$1:$G$49,MATCH($D52,products!$A$1:$A$49,0),MATCH(K$1,products!$A$1:$G$1,0))</f>
        <v>0.5</v>
      </c>
      <c r="L52" s="5">
        <f>INDEX(products!$A$1:$G$49,MATCH($D52,products!$A$1:$A$49,0),MATCH(L$1,products!$A$1:$G$1,0))</f>
        <v>7.77</v>
      </c>
      <c r="M52" s="5">
        <f t="shared" si="0"/>
        <v>15.54</v>
      </c>
      <c r="N52" t="str">
        <f t="shared" si="3"/>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f>
        <v>Karry Flanders</v>
      </c>
      <c r="G53" s="2" t="str">
        <f>IF(_xlfn.XLOOKUP(C53,customers!$A$1:$A$1001,customers!$C$1:$C$1001,,0)=0,"",_xlfn.XLOOKUP(C53,customers!$A$1:$A$1001,customers!$C$1:$C$1001,,0))</f>
        <v>kflanders1f@over-blog.com</v>
      </c>
      <c r="H53" s="2" t="str">
        <f>_xlfn.XLOOKUP(C53,customers!$A$1:$A$1001,customers!$G$1:$G$1001,,0)</f>
        <v>Ireland</v>
      </c>
      <c r="I53" t="str">
        <f>INDEX(products!$A$1:$G$49,MATCH($D53,products!$A$1:$A$49,0),MATCH(I$1,products!$A$1:$G$1,0))</f>
        <v>Lib</v>
      </c>
      <c r="J53" t="str">
        <f>INDEX(products!$A$1:$G$49,MATCH($D53,products!$A$1:$A$49,0),MATCH(J$1,products!$A$1:$G$1,0))</f>
        <v>L</v>
      </c>
      <c r="K53" s="4">
        <f>INDEX(products!$A$1:$G$49,MATCH($D53,products!$A$1:$A$49,0),MATCH(K$1,products!$A$1:$G$1,0))</f>
        <v>2.5</v>
      </c>
      <c r="L53" s="5">
        <f>INDEX(products!$A$1:$G$49,MATCH($D53,products!$A$1:$A$49,0),MATCH(L$1,products!$A$1:$G$1,0))</f>
        <v>36.454999999999998</v>
      </c>
      <c r="M53" s="5">
        <f t="shared" si="0"/>
        <v>145.82</v>
      </c>
      <c r="N53" t="str">
        <f t="shared" si="3"/>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INDEX(products!$A$1:$G$49,MATCH($D54,products!$A$1:$A$49,0),MATCH(I$1,products!$A$1:$G$1,0))</f>
        <v>Rob</v>
      </c>
      <c r="J54" t="str">
        <f>INDEX(products!$A$1:$G$49,MATCH($D54,products!$A$1:$A$49,0),MATCH(J$1,products!$A$1:$G$1,0))</f>
        <v>M</v>
      </c>
      <c r="K54" s="4">
        <f>INDEX(products!$A$1:$G$49,MATCH($D54,products!$A$1:$A$49,0),MATCH(K$1,products!$A$1:$G$1,0))</f>
        <v>0.5</v>
      </c>
      <c r="L54" s="5">
        <f>INDEX(products!$A$1:$G$49,MATCH($D54,products!$A$1:$A$49,0),MATCH(L$1,products!$A$1:$G$1,0))</f>
        <v>5.97</v>
      </c>
      <c r="M54" s="5">
        <f t="shared" si="0"/>
        <v>29.849999999999998</v>
      </c>
      <c r="N54" t="str">
        <f t="shared" si="3"/>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INDEX(products!$A$1:$G$49,MATCH($D55,products!$A$1:$A$49,0),MATCH(I$1,products!$A$1:$G$1,0))</f>
        <v>Lib</v>
      </c>
      <c r="J55" t="str">
        <f>INDEX(products!$A$1:$G$49,MATCH($D55,products!$A$1:$A$49,0),MATCH(J$1,products!$A$1:$G$1,0))</f>
        <v>L</v>
      </c>
      <c r="K55" s="4">
        <f>INDEX(products!$A$1:$G$49,MATCH($D55,products!$A$1:$A$49,0),MATCH(K$1,products!$A$1:$G$1,0))</f>
        <v>2.5</v>
      </c>
      <c r="L55" s="5">
        <f>INDEX(products!$A$1:$G$49,MATCH($D55,products!$A$1:$A$49,0),MATCH(L$1,products!$A$1:$G$1,0))</f>
        <v>36.454999999999998</v>
      </c>
      <c r="M55" s="5">
        <f t="shared" si="0"/>
        <v>72.91</v>
      </c>
      <c r="N55" t="str">
        <f t="shared" si="3"/>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INDEX(products!$A$1:$G$49,MATCH($D56,products!$A$1:$A$49,0),MATCH(I$1,products!$A$1:$G$1,0))</f>
        <v>Lib</v>
      </c>
      <c r="J56" t="str">
        <f>INDEX(products!$A$1:$G$49,MATCH($D56,products!$A$1:$A$49,0),MATCH(J$1,products!$A$1:$G$1,0))</f>
        <v>M</v>
      </c>
      <c r="K56" s="4">
        <f>INDEX(products!$A$1:$G$49,MATCH($D56,products!$A$1:$A$49,0),MATCH(K$1,products!$A$1:$G$1,0))</f>
        <v>1</v>
      </c>
      <c r="L56" s="5">
        <f>INDEX(products!$A$1:$G$49,MATCH($D56,products!$A$1:$A$49,0),MATCH(L$1,products!$A$1:$G$1,0))</f>
        <v>14.55</v>
      </c>
      <c r="M56" s="5">
        <f t="shared" si="0"/>
        <v>72.75</v>
      </c>
      <c r="N56" t="str">
        <f t="shared" si="3"/>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f>
        <v>Salomo Cushworth</v>
      </c>
      <c r="G57" s="2" t="str">
        <f>IF(_xlfn.XLOOKUP(C57,customers!$A$1:$A$1001,customers!$C$1:$C$1001,,0)=0,"",_xlfn.XLOOKUP(C57,customers!$A$1:$A$1001,customers!$C$1:$C$1001,,0))</f>
        <v/>
      </c>
      <c r="H57" s="2" t="str">
        <f>_xlfn.XLOOKUP(C57,customers!$A$1:$A$1001,customers!$G$1:$G$1001,,0)</f>
        <v>United States</v>
      </c>
      <c r="I57" t="str">
        <f>INDEX(products!$A$1:$G$49,MATCH($D57,products!$A$1:$A$49,0),MATCH(I$1,products!$A$1:$G$1,0))</f>
        <v>Lib</v>
      </c>
      <c r="J57" t="str">
        <f>INDEX(products!$A$1:$G$49,MATCH($D57,products!$A$1:$A$49,0),MATCH(J$1,products!$A$1:$G$1,0))</f>
        <v>L</v>
      </c>
      <c r="K57" s="4">
        <f>INDEX(products!$A$1:$G$49,MATCH($D57,products!$A$1:$A$49,0),MATCH(K$1,products!$A$1:$G$1,0))</f>
        <v>1</v>
      </c>
      <c r="L57" s="5">
        <f>INDEX(products!$A$1:$G$49,MATCH($D57,products!$A$1:$A$49,0),MATCH(L$1,products!$A$1:$G$1,0))</f>
        <v>15.85</v>
      </c>
      <c r="M57" s="5">
        <f t="shared" si="0"/>
        <v>47.55</v>
      </c>
      <c r="N57" t="str">
        <f t="shared" si="3"/>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INDEX(products!$A$1:$G$49,MATCH($D58,products!$A$1:$A$49,0),MATCH(I$1,products!$A$1:$G$1,0))</f>
        <v>Exc</v>
      </c>
      <c r="J58" t="str">
        <f>INDEX(products!$A$1:$G$49,MATCH($D58,products!$A$1:$A$49,0),MATCH(J$1,products!$A$1:$G$1,0))</f>
        <v>D</v>
      </c>
      <c r="K58" s="4">
        <f>INDEX(products!$A$1:$G$49,MATCH($D58,products!$A$1:$A$49,0),MATCH(K$1,products!$A$1:$G$1,0))</f>
        <v>0.2</v>
      </c>
      <c r="L58" s="5">
        <f>INDEX(products!$A$1:$G$49,MATCH($D58,products!$A$1:$A$49,0),MATCH(L$1,products!$A$1:$G$1,0))</f>
        <v>3.645</v>
      </c>
      <c r="M58" s="5">
        <f t="shared" si="0"/>
        <v>10.935</v>
      </c>
      <c r="N58" t="str">
        <f t="shared" si="3"/>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INDEX(products!$A$1:$G$49,MATCH($D59,products!$A$1:$A$49,0),MATCH(I$1,products!$A$1:$G$1,0))</f>
        <v>Exc</v>
      </c>
      <c r="J59" t="str">
        <f>INDEX(products!$A$1:$G$49,MATCH($D59,products!$A$1:$A$49,0),MATCH(J$1,products!$A$1:$G$1,0))</f>
        <v>L</v>
      </c>
      <c r="K59" s="4">
        <f>INDEX(products!$A$1:$G$49,MATCH($D59,products!$A$1:$A$49,0),MATCH(K$1,products!$A$1:$G$1,0))</f>
        <v>1</v>
      </c>
      <c r="L59" s="5">
        <f>INDEX(products!$A$1:$G$49,MATCH($D59,products!$A$1:$A$49,0),MATCH(L$1,products!$A$1:$G$1,0))</f>
        <v>14.85</v>
      </c>
      <c r="M59" s="5">
        <f t="shared" si="0"/>
        <v>59.4</v>
      </c>
      <c r="N59" t="str">
        <f t="shared" si="3"/>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f>
        <v>Willa Rolling</v>
      </c>
      <c r="G60" s="2" t="str">
        <f>IF(_xlfn.XLOOKUP(C60,customers!$A$1:$A$1001,customers!$C$1:$C$1001,,0)=0,"",_xlfn.XLOOKUP(C60,customers!$A$1:$A$1001,customers!$C$1:$C$1001,,0))</f>
        <v/>
      </c>
      <c r="H60" s="2" t="str">
        <f>_xlfn.XLOOKUP(C60,customers!$A$1:$A$1001,customers!$G$1:$G$1001,,0)</f>
        <v>United States</v>
      </c>
      <c r="I60" t="str">
        <f>INDEX(products!$A$1:$G$49,MATCH($D60,products!$A$1:$A$49,0),MATCH(I$1,products!$A$1:$G$1,0))</f>
        <v>Lib</v>
      </c>
      <c r="J60" t="str">
        <f>INDEX(products!$A$1:$G$49,MATCH($D60,products!$A$1:$A$49,0),MATCH(J$1,products!$A$1:$G$1,0))</f>
        <v>D</v>
      </c>
      <c r="K60" s="4">
        <f>INDEX(products!$A$1:$G$49,MATCH($D60,products!$A$1:$A$49,0),MATCH(K$1,products!$A$1:$G$1,0))</f>
        <v>2.5</v>
      </c>
      <c r="L60" s="5">
        <f>INDEX(products!$A$1:$G$49,MATCH($D60,products!$A$1:$A$49,0),MATCH(L$1,products!$A$1:$G$1,0))</f>
        <v>29.784999999999997</v>
      </c>
      <c r="M60" s="5">
        <f t="shared" si="0"/>
        <v>89.35499999999999</v>
      </c>
      <c r="N60" t="str">
        <f t="shared" si="3"/>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INDEX(products!$A$1:$G$49,MATCH($D61,products!$A$1:$A$49,0),MATCH(I$1,products!$A$1:$G$1,0))</f>
        <v>Lib</v>
      </c>
      <c r="J61" t="str">
        <f>INDEX(products!$A$1:$G$49,MATCH($D61,products!$A$1:$A$49,0),MATCH(J$1,products!$A$1:$G$1,0))</f>
        <v>M</v>
      </c>
      <c r="K61" s="4">
        <f>INDEX(products!$A$1:$G$49,MATCH($D61,products!$A$1:$A$49,0),MATCH(K$1,products!$A$1:$G$1,0))</f>
        <v>0.5</v>
      </c>
      <c r="L61" s="5">
        <f>INDEX(products!$A$1:$G$49,MATCH($D61,products!$A$1:$A$49,0),MATCH(L$1,products!$A$1:$G$1,0))</f>
        <v>8.73</v>
      </c>
      <c r="M61" s="5">
        <f t="shared" si="0"/>
        <v>26.19</v>
      </c>
      <c r="N61" t="str">
        <f t="shared" si="3"/>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INDEX(products!$A$1:$G$49,MATCH($D62,products!$A$1:$A$49,0),MATCH(I$1,products!$A$1:$G$1,0))</f>
        <v>Ara</v>
      </c>
      <c r="J62" t="str">
        <f>INDEX(products!$A$1:$G$49,MATCH($D62,products!$A$1:$A$49,0),MATCH(J$1,products!$A$1:$G$1,0))</f>
        <v>D</v>
      </c>
      <c r="K62" s="4">
        <f>INDEX(products!$A$1:$G$49,MATCH($D62,products!$A$1:$A$49,0),MATCH(K$1,products!$A$1:$G$1,0))</f>
        <v>2.5</v>
      </c>
      <c r="L62" s="5">
        <f>INDEX(products!$A$1:$G$49,MATCH($D62,products!$A$1:$A$49,0),MATCH(L$1,products!$A$1:$G$1,0))</f>
        <v>22.884999999999998</v>
      </c>
      <c r="M62" s="5">
        <f t="shared" si="0"/>
        <v>114.42499999999998</v>
      </c>
      <c r="N62" t="str">
        <f t="shared" si="3"/>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f>
        <v>Pammi Endacott</v>
      </c>
      <c r="G63" s="2" t="str">
        <f>IF(_xlfn.XLOOKUP(C63,customers!$A$1:$A$1001,customers!$C$1:$C$1001,,0)=0,"",_xlfn.XLOOKUP(C63,customers!$A$1:$A$1001,customers!$C$1:$C$1001,,0))</f>
        <v/>
      </c>
      <c r="H63" s="2" t="str">
        <f>_xlfn.XLOOKUP(C63,customers!$A$1:$A$1001,customers!$G$1:$G$1001,,0)</f>
        <v>United Kingdom</v>
      </c>
      <c r="I63" t="str">
        <f>INDEX(products!$A$1:$G$49,MATCH($D63,products!$A$1:$A$49,0),MATCH(I$1,products!$A$1:$G$1,0))</f>
        <v>Rob</v>
      </c>
      <c r="J63" t="str">
        <f>INDEX(products!$A$1:$G$49,MATCH($D63,products!$A$1:$A$49,0),MATCH(J$1,products!$A$1:$G$1,0))</f>
        <v>D</v>
      </c>
      <c r="K63" s="4">
        <f>INDEX(products!$A$1:$G$49,MATCH($D63,products!$A$1:$A$49,0),MATCH(K$1,products!$A$1:$G$1,0))</f>
        <v>0.5</v>
      </c>
      <c r="L63" s="5">
        <f>INDEX(products!$A$1:$G$49,MATCH($D63,products!$A$1:$A$49,0),MATCH(L$1,products!$A$1:$G$1,0))</f>
        <v>5.3699999999999992</v>
      </c>
      <c r="M63" s="5">
        <f t="shared" si="0"/>
        <v>26.849999999999994</v>
      </c>
      <c r="N63" t="str">
        <f t="shared" si="3"/>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f>
        <v>Nona Linklater</v>
      </c>
      <c r="G64" s="2" t="str">
        <f>IF(_xlfn.XLOOKUP(C64,customers!$A$1:$A$1001,customers!$C$1:$C$1001,,0)=0,"",_xlfn.XLOOKUP(C64,customers!$A$1:$A$1001,customers!$C$1:$C$1001,,0))</f>
        <v/>
      </c>
      <c r="H64" s="2" t="str">
        <f>_xlfn.XLOOKUP(C64,customers!$A$1:$A$1001,customers!$G$1:$G$1001,,0)</f>
        <v>United States</v>
      </c>
      <c r="I64" t="str">
        <f>INDEX(products!$A$1:$G$49,MATCH($D64,products!$A$1:$A$49,0),MATCH(I$1,products!$A$1:$G$1,0))</f>
        <v>Lib</v>
      </c>
      <c r="J64" t="str">
        <f>INDEX(products!$A$1:$G$49,MATCH($D64,products!$A$1:$A$49,0),MATCH(J$1,products!$A$1:$G$1,0))</f>
        <v>L</v>
      </c>
      <c r="K64" s="4">
        <f>INDEX(products!$A$1:$G$49,MATCH($D64,products!$A$1:$A$49,0),MATCH(K$1,products!$A$1:$G$1,0))</f>
        <v>0.2</v>
      </c>
      <c r="L64" s="5">
        <f>INDEX(products!$A$1:$G$49,MATCH($D64,products!$A$1:$A$49,0),MATCH(L$1,products!$A$1:$G$1,0))</f>
        <v>4.7549999999999999</v>
      </c>
      <c r="M64" s="5">
        <f t="shared" si="0"/>
        <v>23.774999999999999</v>
      </c>
      <c r="N64" t="str">
        <f t="shared" si="3"/>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INDEX(products!$A$1:$G$49,MATCH($D65,products!$A$1:$A$49,0),MATCH(I$1,products!$A$1:$G$1,0))</f>
        <v>Ara</v>
      </c>
      <c r="J65" t="str">
        <f>INDEX(products!$A$1:$G$49,MATCH($D65,products!$A$1:$A$49,0),MATCH(J$1,products!$A$1:$G$1,0))</f>
        <v>M</v>
      </c>
      <c r="K65" s="4">
        <f>INDEX(products!$A$1:$G$49,MATCH($D65,products!$A$1:$A$49,0),MATCH(K$1,products!$A$1:$G$1,0))</f>
        <v>0.5</v>
      </c>
      <c r="L65" s="5">
        <f>INDEX(products!$A$1:$G$49,MATCH($D65,products!$A$1:$A$49,0),MATCH(L$1,products!$A$1:$G$1,0))</f>
        <v>6.75</v>
      </c>
      <c r="M65" s="5">
        <f t="shared" si="0"/>
        <v>6.75</v>
      </c>
      <c r="N65" t="str">
        <f t="shared" si="3"/>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f>
        <v>Felecia Dodgson</v>
      </c>
      <c r="G66" s="2" t="str">
        <f>IF(_xlfn.XLOOKUP(C66,customers!$A$1:$A$1001,customers!$C$1:$C$1001,,0)=0,"",_xlfn.XLOOKUP(C66,customers!$A$1:$A$1001,customers!$C$1:$C$1001,,0))</f>
        <v/>
      </c>
      <c r="H66" s="2" t="str">
        <f>_xlfn.XLOOKUP(C66,customers!$A$1:$A$1001,customers!$G$1:$G$1001,,0)</f>
        <v>United States</v>
      </c>
      <c r="I66" t="str">
        <f>INDEX(products!$A$1:$G$49,MATCH($D66,products!$A$1:$A$49,0),MATCH(I$1,products!$A$1:$G$1,0))</f>
        <v>Rob</v>
      </c>
      <c r="J66" t="str">
        <f>INDEX(products!$A$1:$G$49,MATCH($D66,products!$A$1:$A$49,0),MATCH(J$1,products!$A$1:$G$1,0))</f>
        <v>M</v>
      </c>
      <c r="K66" s="4">
        <f>INDEX(products!$A$1:$G$49,MATCH($D66,products!$A$1:$A$49,0),MATCH(K$1,products!$A$1:$G$1,0))</f>
        <v>0.5</v>
      </c>
      <c r="L66" s="5">
        <f>INDEX(products!$A$1:$G$49,MATCH($D66,products!$A$1:$A$49,0),MATCH(L$1,products!$A$1:$G$1,0))</f>
        <v>5.97</v>
      </c>
      <c r="M66" s="5">
        <f t="shared" si="0"/>
        <v>35.82</v>
      </c>
      <c r="N66" t="str">
        <f t="shared" si="3"/>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INDEX(products!$A$1:$G$49,MATCH($D67,products!$A$1:$A$49,0),MATCH(I$1,products!$A$1:$G$1,0))</f>
        <v>Rob</v>
      </c>
      <c r="J67" t="str">
        <f>INDEX(products!$A$1:$G$49,MATCH($D67,products!$A$1:$A$49,0),MATCH(J$1,products!$A$1:$G$1,0))</f>
        <v>D</v>
      </c>
      <c r="K67" s="4">
        <f>INDEX(products!$A$1:$G$49,MATCH($D67,products!$A$1:$A$49,0),MATCH(K$1,products!$A$1:$G$1,0))</f>
        <v>2.5</v>
      </c>
      <c r="L67" s="5">
        <f>INDEX(products!$A$1:$G$49,MATCH($D67,products!$A$1:$A$49,0),MATCH(L$1,products!$A$1:$G$1,0))</f>
        <v>20.584999999999997</v>
      </c>
      <c r="M67" s="5">
        <f t="shared" ref="M67:M130" si="4">L67*E67</f>
        <v>82.339999999999989</v>
      </c>
      <c r="N67" t="str">
        <f t="shared" si="3"/>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INDEX(products!$A$1:$G$49,MATCH($D68,products!$A$1:$A$49,0),MATCH(I$1,products!$A$1:$G$1,0))</f>
        <v>Rob</v>
      </c>
      <c r="J68" t="str">
        <f>INDEX(products!$A$1:$G$49,MATCH($D68,products!$A$1:$A$49,0),MATCH(J$1,products!$A$1:$G$1,0))</f>
        <v>L</v>
      </c>
      <c r="K68" s="4">
        <f>INDEX(products!$A$1:$G$49,MATCH($D68,products!$A$1:$A$49,0),MATCH(K$1,products!$A$1:$G$1,0))</f>
        <v>0.5</v>
      </c>
      <c r="L68" s="5">
        <f>INDEX(products!$A$1:$G$49,MATCH($D68,products!$A$1:$A$49,0),MATCH(L$1,products!$A$1:$G$1,0))</f>
        <v>7.169999999999999</v>
      </c>
      <c r="M68" s="5">
        <f t="shared" si="4"/>
        <v>7.169999999999999</v>
      </c>
      <c r="N68" t="str">
        <f t="shared" si="3"/>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INDEX(products!$A$1:$G$49,MATCH($D69,products!$A$1:$A$49,0),MATCH(I$1,products!$A$1:$G$1,0))</f>
        <v>Lib</v>
      </c>
      <c r="J69" t="str">
        <f>INDEX(products!$A$1:$G$49,MATCH($D69,products!$A$1:$A$49,0),MATCH(J$1,products!$A$1:$G$1,0))</f>
        <v>L</v>
      </c>
      <c r="K69" s="4">
        <f>INDEX(products!$A$1:$G$49,MATCH($D69,products!$A$1:$A$49,0),MATCH(K$1,products!$A$1:$G$1,0))</f>
        <v>0.2</v>
      </c>
      <c r="L69" s="5">
        <f>INDEX(products!$A$1:$G$49,MATCH($D69,products!$A$1:$A$49,0),MATCH(L$1,products!$A$1:$G$1,0))</f>
        <v>4.7549999999999999</v>
      </c>
      <c r="M69" s="5">
        <f t="shared" si="4"/>
        <v>9.51</v>
      </c>
      <c r="N69" t="str">
        <f t="shared" si="3"/>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INDEX(products!$A$1:$G$49,MATCH($D70,products!$A$1:$A$49,0),MATCH(I$1,products!$A$1:$G$1,0))</f>
        <v>Rob</v>
      </c>
      <c r="J70" t="str">
        <f>INDEX(products!$A$1:$G$49,MATCH($D70,products!$A$1:$A$49,0),MATCH(J$1,products!$A$1:$G$1,0))</f>
        <v>M</v>
      </c>
      <c r="K70" s="4">
        <f>INDEX(products!$A$1:$G$49,MATCH($D70,products!$A$1:$A$49,0),MATCH(K$1,products!$A$1:$G$1,0))</f>
        <v>0.2</v>
      </c>
      <c r="L70" s="5">
        <f>INDEX(products!$A$1:$G$49,MATCH($D70,products!$A$1:$A$49,0),MATCH(L$1,products!$A$1:$G$1,0))</f>
        <v>2.9849999999999999</v>
      </c>
      <c r="M70" s="5">
        <f t="shared" si="4"/>
        <v>2.9849999999999999</v>
      </c>
      <c r="N70" t="str">
        <f t="shared" si="3"/>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INDEX(products!$A$1:$G$49,MATCH($D71,products!$A$1:$A$49,0),MATCH(I$1,products!$A$1:$G$1,0))</f>
        <v>Rob</v>
      </c>
      <c r="J71" t="str">
        <f>INDEX(products!$A$1:$G$49,MATCH($D71,products!$A$1:$A$49,0),MATCH(J$1,products!$A$1:$G$1,0))</f>
        <v>M</v>
      </c>
      <c r="K71" s="4">
        <f>INDEX(products!$A$1:$G$49,MATCH($D71,products!$A$1:$A$49,0),MATCH(K$1,products!$A$1:$G$1,0))</f>
        <v>1</v>
      </c>
      <c r="L71" s="5">
        <f>INDEX(products!$A$1:$G$49,MATCH($D71,products!$A$1:$A$49,0),MATCH(L$1,products!$A$1:$G$1,0))</f>
        <v>9.9499999999999993</v>
      </c>
      <c r="M71" s="5">
        <f t="shared" si="4"/>
        <v>59.699999999999996</v>
      </c>
      <c r="N71" t="str">
        <f t="shared" ref="N71:N134" si="6">IF(I71="Rob","Robusta",IF(I71="Ara","Arabica",IF(I71="Exc","Excelsa",IF(I71="Lib","Liberica",""))))</f>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f>
        <v>Shannon List</v>
      </c>
      <c r="G72" s="2" t="str">
        <f>IF(_xlfn.XLOOKUP(C72,customers!$A$1:$A$1001,customers!$C$1:$C$1001,,0)=0,"",_xlfn.XLOOKUP(C72,customers!$A$1:$A$1001,customers!$C$1:$C$1001,,0))</f>
        <v>slist1y@mapquest.com</v>
      </c>
      <c r="H72" s="2" t="str">
        <f>_xlfn.XLOOKUP(C72,customers!$A$1:$A$1001,customers!$G$1:$G$1001,,0)</f>
        <v>United States</v>
      </c>
      <c r="I72" t="str">
        <f>INDEX(products!$A$1:$G$49,MATCH($D72,products!$A$1:$A$49,0),MATCH(I$1,products!$A$1:$G$1,0))</f>
        <v>Exc</v>
      </c>
      <c r="J72" t="str">
        <f>INDEX(products!$A$1:$G$49,MATCH($D72,products!$A$1:$A$49,0),MATCH(J$1,products!$A$1:$G$1,0))</f>
        <v>L</v>
      </c>
      <c r="K72" s="4">
        <f>INDEX(products!$A$1:$G$49,MATCH($D72,products!$A$1:$A$49,0),MATCH(K$1,products!$A$1:$G$1,0))</f>
        <v>2.5</v>
      </c>
      <c r="L72" s="5">
        <f>INDEX(products!$A$1:$G$49,MATCH($D72,products!$A$1:$A$49,0),MATCH(L$1,products!$A$1:$G$1,0))</f>
        <v>34.154999999999994</v>
      </c>
      <c r="M72" s="5">
        <f t="shared" si="4"/>
        <v>136.61999999999998</v>
      </c>
      <c r="N72" t="str">
        <f t="shared" si="6"/>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INDEX(products!$A$1:$G$49,MATCH($D73,products!$A$1:$A$49,0),MATCH(I$1,products!$A$1:$G$1,0))</f>
        <v>Lib</v>
      </c>
      <c r="J73" t="str">
        <f>INDEX(products!$A$1:$G$49,MATCH($D73,products!$A$1:$A$49,0),MATCH(J$1,products!$A$1:$G$1,0))</f>
        <v>L</v>
      </c>
      <c r="K73" s="4">
        <f>INDEX(products!$A$1:$G$49,MATCH($D73,products!$A$1:$A$49,0),MATCH(K$1,products!$A$1:$G$1,0))</f>
        <v>0.2</v>
      </c>
      <c r="L73" s="5">
        <f>INDEX(products!$A$1:$G$49,MATCH($D73,products!$A$1:$A$49,0),MATCH(L$1,products!$A$1:$G$1,0))</f>
        <v>4.7549999999999999</v>
      </c>
      <c r="M73" s="5">
        <f t="shared" si="4"/>
        <v>9.51</v>
      </c>
      <c r="N73" t="str">
        <f t="shared" si="6"/>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f>
        <v>Aurlie McCarl</v>
      </c>
      <c r="G74" s="2" t="str">
        <f>IF(_xlfn.XLOOKUP(C74,customers!$A$1:$A$1001,customers!$C$1:$C$1001,,0)=0,"",_xlfn.XLOOKUP(C74,customers!$A$1:$A$1001,customers!$C$1:$C$1001,,0))</f>
        <v/>
      </c>
      <c r="H74" s="2" t="str">
        <f>_xlfn.XLOOKUP(C74,customers!$A$1:$A$1001,customers!$G$1:$G$1001,,0)</f>
        <v>United States</v>
      </c>
      <c r="I74" t="str">
        <f>INDEX(products!$A$1:$G$49,MATCH($D74,products!$A$1:$A$49,0),MATCH(I$1,products!$A$1:$G$1,0))</f>
        <v>Ara</v>
      </c>
      <c r="J74" t="str">
        <f>INDEX(products!$A$1:$G$49,MATCH($D74,products!$A$1:$A$49,0),MATCH(J$1,products!$A$1:$G$1,0))</f>
        <v>M</v>
      </c>
      <c r="K74" s="4">
        <f>INDEX(products!$A$1:$G$49,MATCH($D74,products!$A$1:$A$49,0),MATCH(K$1,products!$A$1:$G$1,0))</f>
        <v>2.5</v>
      </c>
      <c r="L74" s="5">
        <f>INDEX(products!$A$1:$G$49,MATCH($D74,products!$A$1:$A$49,0),MATCH(L$1,products!$A$1:$G$1,0))</f>
        <v>25.874999999999996</v>
      </c>
      <c r="M74" s="5">
        <f t="shared" si="4"/>
        <v>77.624999999999986</v>
      </c>
      <c r="N74" t="str">
        <f t="shared" si="6"/>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f>
        <v>Alikee Carryer</v>
      </c>
      <c r="G75" s="2" t="str">
        <f>IF(_xlfn.XLOOKUP(C75,customers!$A$1:$A$1001,customers!$C$1:$C$1001,,0)=0,"",_xlfn.XLOOKUP(C75,customers!$A$1:$A$1001,customers!$C$1:$C$1001,,0))</f>
        <v/>
      </c>
      <c r="H75" s="2" t="str">
        <f>_xlfn.XLOOKUP(C75,customers!$A$1:$A$1001,customers!$G$1:$G$1001,,0)</f>
        <v>United States</v>
      </c>
      <c r="I75" t="str">
        <f>INDEX(products!$A$1:$G$49,MATCH($D75,products!$A$1:$A$49,0),MATCH(I$1,products!$A$1:$G$1,0))</f>
        <v>Lib</v>
      </c>
      <c r="J75" t="str">
        <f>INDEX(products!$A$1:$G$49,MATCH($D75,products!$A$1:$A$49,0),MATCH(J$1,products!$A$1:$G$1,0))</f>
        <v>M</v>
      </c>
      <c r="K75" s="4">
        <f>INDEX(products!$A$1:$G$49,MATCH($D75,products!$A$1:$A$49,0),MATCH(K$1,products!$A$1:$G$1,0))</f>
        <v>0.2</v>
      </c>
      <c r="L75" s="5">
        <f>INDEX(products!$A$1:$G$49,MATCH($D75,products!$A$1:$A$49,0),MATCH(L$1,products!$A$1:$G$1,0))</f>
        <v>4.3650000000000002</v>
      </c>
      <c r="M75" s="5">
        <f t="shared" si="4"/>
        <v>21.825000000000003</v>
      </c>
      <c r="N75" t="str">
        <f t="shared" si="6"/>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INDEX(products!$A$1:$G$49,MATCH($D76,products!$A$1:$A$49,0),MATCH(I$1,products!$A$1:$G$1,0))</f>
        <v>Exc</v>
      </c>
      <c r="J76" t="str">
        <f>INDEX(products!$A$1:$G$49,MATCH($D76,products!$A$1:$A$49,0),MATCH(J$1,products!$A$1:$G$1,0))</f>
        <v>L</v>
      </c>
      <c r="K76" s="4">
        <f>INDEX(products!$A$1:$G$49,MATCH($D76,products!$A$1:$A$49,0),MATCH(K$1,products!$A$1:$G$1,0))</f>
        <v>0.5</v>
      </c>
      <c r="L76" s="5">
        <f>INDEX(products!$A$1:$G$49,MATCH($D76,products!$A$1:$A$49,0),MATCH(L$1,products!$A$1:$G$1,0))</f>
        <v>8.91</v>
      </c>
      <c r="M76" s="5">
        <f t="shared" si="4"/>
        <v>17.82</v>
      </c>
      <c r="N76" t="str">
        <f t="shared" si="6"/>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f>
        <v>Kipper Boorn</v>
      </c>
      <c r="G77" s="2" t="str">
        <f>IF(_xlfn.XLOOKUP(C77,customers!$A$1:$A$1001,customers!$C$1:$C$1001,,0)=0,"",_xlfn.XLOOKUP(C77,customers!$A$1:$A$1001,customers!$C$1:$C$1001,,0))</f>
        <v>kboorn23@ezinearticles.com</v>
      </c>
      <c r="H77" s="2" t="str">
        <f>_xlfn.XLOOKUP(C77,customers!$A$1:$A$1001,customers!$G$1:$G$1001,,0)</f>
        <v>Ireland</v>
      </c>
      <c r="I77" t="str">
        <f>INDEX(products!$A$1:$G$49,MATCH($D77,products!$A$1:$A$49,0),MATCH(I$1,products!$A$1:$G$1,0))</f>
        <v>Rob</v>
      </c>
      <c r="J77" t="str">
        <f>INDEX(products!$A$1:$G$49,MATCH($D77,products!$A$1:$A$49,0),MATCH(J$1,products!$A$1:$G$1,0))</f>
        <v>D</v>
      </c>
      <c r="K77" s="4">
        <f>INDEX(products!$A$1:$G$49,MATCH($D77,products!$A$1:$A$49,0),MATCH(K$1,products!$A$1:$G$1,0))</f>
        <v>1</v>
      </c>
      <c r="L77" s="5">
        <f>INDEX(products!$A$1:$G$49,MATCH($D77,products!$A$1:$A$49,0),MATCH(L$1,products!$A$1:$G$1,0))</f>
        <v>8.9499999999999993</v>
      </c>
      <c r="M77" s="5">
        <f t="shared" si="4"/>
        <v>53.699999999999996</v>
      </c>
      <c r="N77" t="str">
        <f t="shared" si="6"/>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f>
        <v>Melania Beadle</v>
      </c>
      <c r="G78" s="2" t="str">
        <f>IF(_xlfn.XLOOKUP(C78,customers!$A$1:$A$1001,customers!$C$1:$C$1001,,0)=0,"",_xlfn.XLOOKUP(C78,customers!$A$1:$A$1001,customers!$C$1:$C$1001,,0))</f>
        <v/>
      </c>
      <c r="H78" s="2" t="str">
        <f>_xlfn.XLOOKUP(C78,customers!$A$1:$A$1001,customers!$G$1:$G$1001,,0)</f>
        <v>Ireland</v>
      </c>
      <c r="I78" t="str">
        <f>INDEX(products!$A$1:$G$49,MATCH($D78,products!$A$1:$A$49,0),MATCH(I$1,products!$A$1:$G$1,0))</f>
        <v>Rob</v>
      </c>
      <c r="J78" t="str">
        <f>INDEX(products!$A$1:$G$49,MATCH($D78,products!$A$1:$A$49,0),MATCH(J$1,products!$A$1:$G$1,0))</f>
        <v>L</v>
      </c>
      <c r="K78" s="4">
        <f>INDEX(products!$A$1:$G$49,MATCH($D78,products!$A$1:$A$49,0),MATCH(K$1,products!$A$1:$G$1,0))</f>
        <v>0.2</v>
      </c>
      <c r="L78" s="5">
        <f>INDEX(products!$A$1:$G$49,MATCH($D78,products!$A$1:$A$49,0),MATCH(L$1,products!$A$1:$G$1,0))</f>
        <v>3.5849999999999995</v>
      </c>
      <c r="M78" s="5">
        <f t="shared" si="4"/>
        <v>3.5849999999999995</v>
      </c>
      <c r="N78" t="str">
        <f t="shared" si="6"/>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f>
        <v>Colene Elgey</v>
      </c>
      <c r="G79" s="2" t="str">
        <f>IF(_xlfn.XLOOKUP(C79,customers!$A$1:$A$1001,customers!$C$1:$C$1001,,0)=0,"",_xlfn.XLOOKUP(C79,customers!$A$1:$A$1001,customers!$C$1:$C$1001,,0))</f>
        <v>celgey25@webs.com</v>
      </c>
      <c r="H79" s="2" t="str">
        <f>_xlfn.XLOOKUP(C79,customers!$A$1:$A$1001,customers!$G$1:$G$1001,,0)</f>
        <v>United States</v>
      </c>
      <c r="I79" t="str">
        <f>INDEX(products!$A$1:$G$49,MATCH($D79,products!$A$1:$A$49,0),MATCH(I$1,products!$A$1:$G$1,0))</f>
        <v>Exc</v>
      </c>
      <c r="J79" t="str">
        <f>INDEX(products!$A$1:$G$49,MATCH($D79,products!$A$1:$A$49,0),MATCH(J$1,products!$A$1:$G$1,0))</f>
        <v>D</v>
      </c>
      <c r="K79" s="4">
        <f>INDEX(products!$A$1:$G$49,MATCH($D79,products!$A$1:$A$49,0),MATCH(K$1,products!$A$1:$G$1,0))</f>
        <v>0.2</v>
      </c>
      <c r="L79" s="5">
        <f>INDEX(products!$A$1:$G$49,MATCH($D79,products!$A$1:$A$49,0),MATCH(L$1,products!$A$1:$G$1,0))</f>
        <v>3.645</v>
      </c>
      <c r="M79" s="5">
        <f t="shared" si="4"/>
        <v>7.29</v>
      </c>
      <c r="N79" t="str">
        <f t="shared" si="6"/>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INDEX(products!$A$1:$G$49,MATCH($D80,products!$A$1:$A$49,0),MATCH(I$1,products!$A$1:$G$1,0))</f>
        <v>Ara</v>
      </c>
      <c r="J80" t="str">
        <f>INDEX(products!$A$1:$G$49,MATCH($D80,products!$A$1:$A$49,0),MATCH(J$1,products!$A$1:$G$1,0))</f>
        <v>M</v>
      </c>
      <c r="K80" s="4">
        <f>INDEX(products!$A$1:$G$49,MATCH($D80,products!$A$1:$A$49,0),MATCH(K$1,products!$A$1:$G$1,0))</f>
        <v>0.5</v>
      </c>
      <c r="L80" s="5">
        <f>INDEX(products!$A$1:$G$49,MATCH($D80,products!$A$1:$A$49,0),MATCH(L$1,products!$A$1:$G$1,0))</f>
        <v>6.75</v>
      </c>
      <c r="M80" s="5">
        <f t="shared" si="4"/>
        <v>40.5</v>
      </c>
      <c r="N80" t="str">
        <f t="shared" si="6"/>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INDEX(products!$A$1:$G$49,MATCH($D81,products!$A$1:$A$49,0),MATCH(I$1,products!$A$1:$G$1,0))</f>
        <v>Rob</v>
      </c>
      <c r="J81" t="str">
        <f>INDEX(products!$A$1:$G$49,MATCH($D81,products!$A$1:$A$49,0),MATCH(J$1,products!$A$1:$G$1,0))</f>
        <v>L</v>
      </c>
      <c r="K81" s="4">
        <f>INDEX(products!$A$1:$G$49,MATCH($D81,products!$A$1:$A$49,0),MATCH(K$1,products!$A$1:$G$1,0))</f>
        <v>1</v>
      </c>
      <c r="L81" s="5">
        <f>INDEX(products!$A$1:$G$49,MATCH($D81,products!$A$1:$A$49,0),MATCH(L$1,products!$A$1:$G$1,0))</f>
        <v>11.95</v>
      </c>
      <c r="M81" s="5">
        <f t="shared" si="4"/>
        <v>47.8</v>
      </c>
      <c r="N81" t="str">
        <f t="shared" si="6"/>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f>
        <v>Ami Arnow</v>
      </c>
      <c r="G82" s="2" t="str">
        <f>IF(_xlfn.XLOOKUP(C82,customers!$A$1:$A$1001,customers!$C$1:$C$1001,,0)=0,"",_xlfn.XLOOKUP(C82,customers!$A$1:$A$1001,customers!$C$1:$C$1001,,0))</f>
        <v>aarnow28@arizona.edu</v>
      </c>
      <c r="H82" s="2" t="str">
        <f>_xlfn.XLOOKUP(C82,customers!$A$1:$A$1001,customers!$G$1:$G$1001,,0)</f>
        <v>United States</v>
      </c>
      <c r="I82" t="str">
        <f>INDEX(products!$A$1:$G$49,MATCH($D82,products!$A$1:$A$49,0),MATCH(I$1,products!$A$1:$G$1,0))</f>
        <v>Ara</v>
      </c>
      <c r="J82" t="str">
        <f>INDEX(products!$A$1:$G$49,MATCH($D82,products!$A$1:$A$49,0),MATCH(J$1,products!$A$1:$G$1,0))</f>
        <v>L</v>
      </c>
      <c r="K82" s="4">
        <f>INDEX(products!$A$1:$G$49,MATCH($D82,products!$A$1:$A$49,0),MATCH(K$1,products!$A$1:$G$1,0))</f>
        <v>0.5</v>
      </c>
      <c r="L82" s="5">
        <f>INDEX(products!$A$1:$G$49,MATCH($D82,products!$A$1:$A$49,0),MATCH(L$1,products!$A$1:$G$1,0))</f>
        <v>7.77</v>
      </c>
      <c r="M82" s="5">
        <f t="shared" si="4"/>
        <v>38.849999999999994</v>
      </c>
      <c r="N82" t="str">
        <f t="shared" si="6"/>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f>
        <v>Sheppard Yann</v>
      </c>
      <c r="G83" s="2" t="str">
        <f>IF(_xlfn.XLOOKUP(C83,customers!$A$1:$A$1001,customers!$C$1:$C$1001,,0)=0,"",_xlfn.XLOOKUP(C83,customers!$A$1:$A$1001,customers!$C$1:$C$1001,,0))</f>
        <v>syann29@senate.gov</v>
      </c>
      <c r="H83" s="2" t="str">
        <f>_xlfn.XLOOKUP(C83,customers!$A$1:$A$1001,customers!$G$1:$G$1001,,0)</f>
        <v>United States</v>
      </c>
      <c r="I83" t="str">
        <f>INDEX(products!$A$1:$G$49,MATCH($D83,products!$A$1:$A$49,0),MATCH(I$1,products!$A$1:$G$1,0))</f>
        <v>Lib</v>
      </c>
      <c r="J83" t="str">
        <f>INDEX(products!$A$1:$G$49,MATCH($D83,products!$A$1:$A$49,0),MATCH(J$1,products!$A$1:$G$1,0))</f>
        <v>L</v>
      </c>
      <c r="K83" s="4">
        <f>INDEX(products!$A$1:$G$49,MATCH($D83,products!$A$1:$A$49,0),MATCH(K$1,products!$A$1:$G$1,0))</f>
        <v>2.5</v>
      </c>
      <c r="L83" s="5">
        <f>INDEX(products!$A$1:$G$49,MATCH($D83,products!$A$1:$A$49,0),MATCH(L$1,products!$A$1:$G$1,0))</f>
        <v>36.454999999999998</v>
      </c>
      <c r="M83" s="5">
        <f t="shared" si="4"/>
        <v>109.36499999999999</v>
      </c>
      <c r="N83" t="str">
        <f t="shared" si="6"/>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f>
        <v>Bunny Naulls</v>
      </c>
      <c r="G84" s="2" t="str">
        <f>IF(_xlfn.XLOOKUP(C84,customers!$A$1:$A$1001,customers!$C$1:$C$1001,,0)=0,"",_xlfn.XLOOKUP(C84,customers!$A$1:$A$1001,customers!$C$1:$C$1001,,0))</f>
        <v>bnaulls2a@tiny.cc</v>
      </c>
      <c r="H84" s="2" t="str">
        <f>_xlfn.XLOOKUP(C84,customers!$A$1:$A$1001,customers!$G$1:$G$1001,,0)</f>
        <v>Ireland</v>
      </c>
      <c r="I84" t="str">
        <f>INDEX(products!$A$1:$G$49,MATCH($D84,products!$A$1:$A$49,0),MATCH(I$1,products!$A$1:$G$1,0))</f>
        <v>Lib</v>
      </c>
      <c r="J84" t="str">
        <f>INDEX(products!$A$1:$G$49,MATCH($D84,products!$A$1:$A$49,0),MATCH(J$1,products!$A$1:$G$1,0))</f>
        <v>M</v>
      </c>
      <c r="K84" s="4">
        <f>INDEX(products!$A$1:$G$49,MATCH($D84,products!$A$1:$A$49,0),MATCH(K$1,products!$A$1:$G$1,0))</f>
        <v>2.5</v>
      </c>
      <c r="L84" s="5">
        <f>INDEX(products!$A$1:$G$49,MATCH($D84,products!$A$1:$A$49,0),MATCH(L$1,products!$A$1:$G$1,0))</f>
        <v>33.464999999999996</v>
      </c>
      <c r="M84" s="5">
        <f t="shared" si="4"/>
        <v>100.39499999999998</v>
      </c>
      <c r="N84" t="str">
        <f t="shared" si="6"/>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f>
        <v>Hally Lorait</v>
      </c>
      <c r="G85" s="2" t="str">
        <f>IF(_xlfn.XLOOKUP(C85,customers!$A$1:$A$1001,customers!$C$1:$C$1001,,0)=0,"",_xlfn.XLOOKUP(C85,customers!$A$1:$A$1001,customers!$C$1:$C$1001,,0))</f>
        <v/>
      </c>
      <c r="H85" s="2" t="str">
        <f>_xlfn.XLOOKUP(C85,customers!$A$1:$A$1001,customers!$G$1:$G$1001,,0)</f>
        <v>United States</v>
      </c>
      <c r="I85" t="str">
        <f>INDEX(products!$A$1:$G$49,MATCH($D85,products!$A$1:$A$49,0),MATCH(I$1,products!$A$1:$G$1,0))</f>
        <v>Rob</v>
      </c>
      <c r="J85" t="str">
        <f>INDEX(products!$A$1:$G$49,MATCH($D85,products!$A$1:$A$49,0),MATCH(J$1,products!$A$1:$G$1,0))</f>
        <v>D</v>
      </c>
      <c r="K85" s="4">
        <f>INDEX(products!$A$1:$G$49,MATCH($D85,products!$A$1:$A$49,0),MATCH(K$1,products!$A$1:$G$1,0))</f>
        <v>2.5</v>
      </c>
      <c r="L85" s="5">
        <f>INDEX(products!$A$1:$G$49,MATCH($D85,products!$A$1:$A$49,0),MATCH(L$1,products!$A$1:$G$1,0))</f>
        <v>20.584999999999997</v>
      </c>
      <c r="M85" s="5">
        <f t="shared" si="4"/>
        <v>82.339999999999989</v>
      </c>
      <c r="N85" t="str">
        <f t="shared" si="6"/>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INDEX(products!$A$1:$G$49,MATCH($D86,products!$A$1:$A$49,0),MATCH(I$1,products!$A$1:$G$1,0))</f>
        <v>Lib</v>
      </c>
      <c r="J86" t="str">
        <f>INDEX(products!$A$1:$G$49,MATCH($D86,products!$A$1:$A$49,0),MATCH(J$1,products!$A$1:$G$1,0))</f>
        <v>L</v>
      </c>
      <c r="K86" s="4">
        <f>INDEX(products!$A$1:$G$49,MATCH($D86,products!$A$1:$A$49,0),MATCH(K$1,products!$A$1:$G$1,0))</f>
        <v>0.5</v>
      </c>
      <c r="L86" s="5">
        <f>INDEX(products!$A$1:$G$49,MATCH($D86,products!$A$1:$A$49,0),MATCH(L$1,products!$A$1:$G$1,0))</f>
        <v>9.51</v>
      </c>
      <c r="M86" s="5">
        <f t="shared" si="4"/>
        <v>9.51</v>
      </c>
      <c r="N86" t="str">
        <f t="shared" si="6"/>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INDEX(products!$A$1:$G$49,MATCH($D87,products!$A$1:$A$49,0),MATCH(I$1,products!$A$1:$G$1,0))</f>
        <v>Ara</v>
      </c>
      <c r="J87" t="str">
        <f>INDEX(products!$A$1:$G$49,MATCH($D87,products!$A$1:$A$49,0),MATCH(J$1,products!$A$1:$G$1,0))</f>
        <v>L</v>
      </c>
      <c r="K87" s="4">
        <f>INDEX(products!$A$1:$G$49,MATCH($D87,products!$A$1:$A$49,0),MATCH(K$1,products!$A$1:$G$1,0))</f>
        <v>2.5</v>
      </c>
      <c r="L87" s="5">
        <f>INDEX(products!$A$1:$G$49,MATCH($D87,products!$A$1:$A$49,0),MATCH(L$1,products!$A$1:$G$1,0))</f>
        <v>29.784999999999997</v>
      </c>
      <c r="M87" s="5">
        <f t="shared" si="4"/>
        <v>89.35499999999999</v>
      </c>
      <c r="N87" t="str">
        <f t="shared" si="6"/>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INDEX(products!$A$1:$G$49,MATCH($D88,products!$A$1:$A$49,0),MATCH(I$1,products!$A$1:$G$1,0))</f>
        <v>Ara</v>
      </c>
      <c r="J88" t="str">
        <f>INDEX(products!$A$1:$G$49,MATCH($D88,products!$A$1:$A$49,0),MATCH(J$1,products!$A$1:$G$1,0))</f>
        <v>D</v>
      </c>
      <c r="K88" s="4">
        <f>INDEX(products!$A$1:$G$49,MATCH($D88,products!$A$1:$A$49,0),MATCH(K$1,products!$A$1:$G$1,0))</f>
        <v>0.2</v>
      </c>
      <c r="L88" s="5">
        <f>INDEX(products!$A$1:$G$49,MATCH($D88,products!$A$1:$A$49,0),MATCH(L$1,products!$A$1:$G$1,0))</f>
        <v>2.9849999999999999</v>
      </c>
      <c r="M88" s="5">
        <f t="shared" si="4"/>
        <v>11.94</v>
      </c>
      <c r="N88" t="str">
        <f t="shared" si="6"/>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INDEX(products!$A$1:$G$49,MATCH($D89,products!$A$1:$A$49,0),MATCH(I$1,products!$A$1:$G$1,0))</f>
        <v>Ara</v>
      </c>
      <c r="J89" t="str">
        <f>INDEX(products!$A$1:$G$49,MATCH($D89,products!$A$1:$A$49,0),MATCH(J$1,products!$A$1:$G$1,0))</f>
        <v>M</v>
      </c>
      <c r="K89" s="4">
        <f>INDEX(products!$A$1:$G$49,MATCH($D89,products!$A$1:$A$49,0),MATCH(K$1,products!$A$1:$G$1,0))</f>
        <v>1</v>
      </c>
      <c r="L89" s="5">
        <f>INDEX(products!$A$1:$G$49,MATCH($D89,products!$A$1:$A$49,0),MATCH(L$1,products!$A$1:$G$1,0))</f>
        <v>11.25</v>
      </c>
      <c r="M89" s="5">
        <f t="shared" si="4"/>
        <v>33.75</v>
      </c>
      <c r="N89" t="str">
        <f t="shared" si="6"/>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INDEX(products!$A$1:$G$49,MATCH($D90,products!$A$1:$A$49,0),MATCH(I$1,products!$A$1:$G$1,0))</f>
        <v>Rob</v>
      </c>
      <c r="J90" t="str">
        <f>INDEX(products!$A$1:$G$49,MATCH($D90,products!$A$1:$A$49,0),MATCH(J$1,products!$A$1:$G$1,0))</f>
        <v>L</v>
      </c>
      <c r="K90" s="4">
        <f>INDEX(products!$A$1:$G$49,MATCH($D90,products!$A$1:$A$49,0),MATCH(K$1,products!$A$1:$G$1,0))</f>
        <v>1</v>
      </c>
      <c r="L90" s="5">
        <f>INDEX(products!$A$1:$G$49,MATCH($D90,products!$A$1:$A$49,0),MATCH(L$1,products!$A$1:$G$1,0))</f>
        <v>11.95</v>
      </c>
      <c r="M90" s="5">
        <f t="shared" si="4"/>
        <v>35.849999999999994</v>
      </c>
      <c r="N90" t="str">
        <f t="shared" si="6"/>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INDEX(products!$A$1:$G$49,MATCH($D91,products!$A$1:$A$49,0),MATCH(I$1,products!$A$1:$G$1,0))</f>
        <v>Ara</v>
      </c>
      <c r="J91" t="str">
        <f>INDEX(products!$A$1:$G$49,MATCH($D91,products!$A$1:$A$49,0),MATCH(J$1,products!$A$1:$G$1,0))</f>
        <v>L</v>
      </c>
      <c r="K91" s="4">
        <f>INDEX(products!$A$1:$G$49,MATCH($D91,products!$A$1:$A$49,0),MATCH(K$1,products!$A$1:$G$1,0))</f>
        <v>1</v>
      </c>
      <c r="L91" s="5">
        <f>INDEX(products!$A$1:$G$49,MATCH($D91,products!$A$1:$A$49,0),MATCH(L$1,products!$A$1:$G$1,0))</f>
        <v>12.95</v>
      </c>
      <c r="M91" s="5">
        <f t="shared" si="4"/>
        <v>77.699999999999989</v>
      </c>
      <c r="N91" t="str">
        <f t="shared" si="6"/>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f>
        <v>Loydie Langlais</v>
      </c>
      <c r="G92" s="2" t="str">
        <f>IF(_xlfn.XLOOKUP(C92,customers!$A$1:$A$1001,customers!$C$1:$C$1001,,0)=0,"",_xlfn.XLOOKUP(C92,customers!$A$1:$A$1001,customers!$C$1:$C$1001,,0))</f>
        <v/>
      </c>
      <c r="H92" s="2" t="str">
        <f>_xlfn.XLOOKUP(C92,customers!$A$1:$A$1001,customers!$G$1:$G$1001,,0)</f>
        <v>Ireland</v>
      </c>
      <c r="I92" t="str">
        <f>INDEX(products!$A$1:$G$49,MATCH($D92,products!$A$1:$A$49,0),MATCH(I$1,products!$A$1:$G$1,0))</f>
        <v>Ara</v>
      </c>
      <c r="J92" t="str">
        <f>INDEX(products!$A$1:$G$49,MATCH($D92,products!$A$1:$A$49,0),MATCH(J$1,products!$A$1:$G$1,0))</f>
        <v>L</v>
      </c>
      <c r="K92" s="4">
        <f>INDEX(products!$A$1:$G$49,MATCH($D92,products!$A$1:$A$49,0),MATCH(K$1,products!$A$1:$G$1,0))</f>
        <v>1</v>
      </c>
      <c r="L92" s="5">
        <f>INDEX(products!$A$1:$G$49,MATCH($D92,products!$A$1:$A$49,0),MATCH(L$1,products!$A$1:$G$1,0))</f>
        <v>12.95</v>
      </c>
      <c r="M92" s="5">
        <f t="shared" si="4"/>
        <v>51.8</v>
      </c>
      <c r="N92" t="str">
        <f t="shared" si="6"/>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INDEX(products!$A$1:$G$49,MATCH($D93,products!$A$1:$A$49,0),MATCH(I$1,products!$A$1:$G$1,0))</f>
        <v>Ara</v>
      </c>
      <c r="J93" t="str">
        <f>INDEX(products!$A$1:$G$49,MATCH($D93,products!$A$1:$A$49,0),MATCH(J$1,products!$A$1:$G$1,0))</f>
        <v>M</v>
      </c>
      <c r="K93" s="4">
        <f>INDEX(products!$A$1:$G$49,MATCH($D93,products!$A$1:$A$49,0),MATCH(K$1,products!$A$1:$G$1,0))</f>
        <v>2.5</v>
      </c>
      <c r="L93" s="5">
        <f>INDEX(products!$A$1:$G$49,MATCH($D93,products!$A$1:$A$49,0),MATCH(L$1,products!$A$1:$G$1,0))</f>
        <v>25.874999999999996</v>
      </c>
      <c r="M93" s="5">
        <f t="shared" si="4"/>
        <v>103.49999999999999</v>
      </c>
      <c r="N93" t="str">
        <f t="shared" si="6"/>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f>
        <v>Hamish MacSherry</v>
      </c>
      <c r="G94" s="2" t="str">
        <f>IF(_xlfn.XLOOKUP(C94,customers!$A$1:$A$1001,customers!$C$1:$C$1001,,0)=0,"",_xlfn.XLOOKUP(C94,customers!$A$1:$A$1001,customers!$C$1:$C$1001,,0))</f>
        <v/>
      </c>
      <c r="H94" s="2" t="str">
        <f>_xlfn.XLOOKUP(C94,customers!$A$1:$A$1001,customers!$G$1:$G$1001,,0)</f>
        <v>United States</v>
      </c>
      <c r="I94" t="str">
        <f>INDEX(products!$A$1:$G$49,MATCH($D94,products!$A$1:$A$49,0),MATCH(I$1,products!$A$1:$G$1,0))</f>
        <v>Exc</v>
      </c>
      <c r="J94" t="str">
        <f>INDEX(products!$A$1:$G$49,MATCH($D94,products!$A$1:$A$49,0),MATCH(J$1,products!$A$1:$G$1,0))</f>
        <v>L</v>
      </c>
      <c r="K94" s="4">
        <f>INDEX(products!$A$1:$G$49,MATCH($D94,products!$A$1:$A$49,0),MATCH(K$1,products!$A$1:$G$1,0))</f>
        <v>1</v>
      </c>
      <c r="L94" s="5">
        <f>INDEX(products!$A$1:$G$49,MATCH($D94,products!$A$1:$A$49,0),MATCH(L$1,products!$A$1:$G$1,0))</f>
        <v>14.85</v>
      </c>
      <c r="M94" s="5">
        <f t="shared" si="4"/>
        <v>44.55</v>
      </c>
      <c r="N94" t="str">
        <f t="shared" si="6"/>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INDEX(products!$A$1:$G$49,MATCH($D95,products!$A$1:$A$49,0),MATCH(I$1,products!$A$1:$G$1,0))</f>
        <v>Exc</v>
      </c>
      <c r="J95" t="str">
        <f>INDEX(products!$A$1:$G$49,MATCH($D95,products!$A$1:$A$49,0),MATCH(J$1,products!$A$1:$G$1,0))</f>
        <v>L</v>
      </c>
      <c r="K95" s="4">
        <f>INDEX(products!$A$1:$G$49,MATCH($D95,products!$A$1:$A$49,0),MATCH(K$1,products!$A$1:$G$1,0))</f>
        <v>0.5</v>
      </c>
      <c r="L95" s="5">
        <f>INDEX(products!$A$1:$G$49,MATCH($D95,products!$A$1:$A$49,0),MATCH(L$1,products!$A$1:$G$1,0))</f>
        <v>8.91</v>
      </c>
      <c r="M95" s="5">
        <f t="shared" si="4"/>
        <v>35.64</v>
      </c>
      <c r="N95" t="str">
        <f t="shared" si="6"/>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f>
        <v>Rudy Farquharson</v>
      </c>
      <c r="G96" s="2" t="str">
        <f>IF(_xlfn.XLOOKUP(C96,customers!$A$1:$A$1001,customers!$C$1:$C$1001,,0)=0,"",_xlfn.XLOOKUP(C96,customers!$A$1:$A$1001,customers!$C$1:$C$1001,,0))</f>
        <v/>
      </c>
      <c r="H96" s="2" t="str">
        <f>_xlfn.XLOOKUP(C96,customers!$A$1:$A$1001,customers!$G$1:$G$1001,,0)</f>
        <v>Ireland</v>
      </c>
      <c r="I96" t="str">
        <f>INDEX(products!$A$1:$G$49,MATCH($D96,products!$A$1:$A$49,0),MATCH(I$1,products!$A$1:$G$1,0))</f>
        <v>Ara</v>
      </c>
      <c r="J96" t="str">
        <f>INDEX(products!$A$1:$G$49,MATCH($D96,products!$A$1:$A$49,0),MATCH(J$1,products!$A$1:$G$1,0))</f>
        <v>D</v>
      </c>
      <c r="K96" s="4">
        <f>INDEX(products!$A$1:$G$49,MATCH($D96,products!$A$1:$A$49,0),MATCH(K$1,products!$A$1:$G$1,0))</f>
        <v>0.2</v>
      </c>
      <c r="L96" s="5">
        <f>INDEX(products!$A$1:$G$49,MATCH($D96,products!$A$1:$A$49,0),MATCH(L$1,products!$A$1:$G$1,0))</f>
        <v>2.9849999999999999</v>
      </c>
      <c r="M96" s="5">
        <f t="shared" si="4"/>
        <v>17.91</v>
      </c>
      <c r="N96" t="str">
        <f t="shared" si="6"/>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f>
        <v>Norene Magauran</v>
      </c>
      <c r="G97" s="2" t="str">
        <f>IF(_xlfn.XLOOKUP(C97,customers!$A$1:$A$1001,customers!$C$1:$C$1001,,0)=0,"",_xlfn.XLOOKUP(C97,customers!$A$1:$A$1001,customers!$C$1:$C$1001,,0))</f>
        <v>nmagauran2n@51.la</v>
      </c>
      <c r="H97" s="2" t="str">
        <f>_xlfn.XLOOKUP(C97,customers!$A$1:$A$1001,customers!$G$1:$G$1001,,0)</f>
        <v>United States</v>
      </c>
      <c r="I97" t="str">
        <f>INDEX(products!$A$1:$G$49,MATCH($D97,products!$A$1:$A$49,0),MATCH(I$1,products!$A$1:$G$1,0))</f>
        <v>Ara</v>
      </c>
      <c r="J97" t="str">
        <f>INDEX(products!$A$1:$G$49,MATCH($D97,products!$A$1:$A$49,0),MATCH(J$1,products!$A$1:$G$1,0))</f>
        <v>M</v>
      </c>
      <c r="K97" s="4">
        <f>INDEX(products!$A$1:$G$49,MATCH($D97,products!$A$1:$A$49,0),MATCH(K$1,products!$A$1:$G$1,0))</f>
        <v>2.5</v>
      </c>
      <c r="L97" s="5">
        <f>INDEX(products!$A$1:$G$49,MATCH($D97,products!$A$1:$A$49,0),MATCH(L$1,products!$A$1:$G$1,0))</f>
        <v>25.874999999999996</v>
      </c>
      <c r="M97" s="5">
        <f t="shared" si="4"/>
        <v>155.24999999999997</v>
      </c>
      <c r="N97" t="str">
        <f t="shared" si="6"/>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INDEX(products!$A$1:$G$49,MATCH($D98,products!$A$1:$A$49,0),MATCH(I$1,products!$A$1:$G$1,0))</f>
        <v>Ara</v>
      </c>
      <c r="J98" t="str">
        <f>INDEX(products!$A$1:$G$49,MATCH($D98,products!$A$1:$A$49,0),MATCH(J$1,products!$A$1:$G$1,0))</f>
        <v>D</v>
      </c>
      <c r="K98" s="4">
        <f>INDEX(products!$A$1:$G$49,MATCH($D98,products!$A$1:$A$49,0),MATCH(K$1,products!$A$1:$G$1,0))</f>
        <v>0.2</v>
      </c>
      <c r="L98" s="5">
        <f>INDEX(products!$A$1:$G$49,MATCH($D98,products!$A$1:$A$49,0),MATCH(L$1,products!$A$1:$G$1,0))</f>
        <v>2.9849999999999999</v>
      </c>
      <c r="M98" s="5">
        <f t="shared" si="4"/>
        <v>5.97</v>
      </c>
      <c r="N98" t="str">
        <f t="shared" si="6"/>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f>
        <v>Ilysa Whapple</v>
      </c>
      <c r="G99" s="2" t="str">
        <f>IF(_xlfn.XLOOKUP(C99,customers!$A$1:$A$1001,customers!$C$1:$C$1001,,0)=0,"",_xlfn.XLOOKUP(C99,customers!$A$1:$A$1001,customers!$C$1:$C$1001,,0))</f>
        <v>iwhapple2p@com.com</v>
      </c>
      <c r="H99" s="2" t="str">
        <f>_xlfn.XLOOKUP(C99,customers!$A$1:$A$1001,customers!$G$1:$G$1001,,0)</f>
        <v>United States</v>
      </c>
      <c r="I99" t="str">
        <f>INDEX(products!$A$1:$G$49,MATCH($D99,products!$A$1:$A$49,0),MATCH(I$1,products!$A$1:$G$1,0))</f>
        <v>Ara</v>
      </c>
      <c r="J99" t="str">
        <f>INDEX(products!$A$1:$G$49,MATCH($D99,products!$A$1:$A$49,0),MATCH(J$1,products!$A$1:$G$1,0))</f>
        <v>M</v>
      </c>
      <c r="K99" s="4">
        <f>INDEX(products!$A$1:$G$49,MATCH($D99,products!$A$1:$A$49,0),MATCH(K$1,products!$A$1:$G$1,0))</f>
        <v>0.5</v>
      </c>
      <c r="L99" s="5">
        <f>INDEX(products!$A$1:$G$49,MATCH($D99,products!$A$1:$A$49,0),MATCH(L$1,products!$A$1:$G$1,0))</f>
        <v>6.75</v>
      </c>
      <c r="M99" s="5">
        <f t="shared" si="4"/>
        <v>13.5</v>
      </c>
      <c r="N99" t="str">
        <f t="shared" si="6"/>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f>
        <v>Ruy Cancellieri</v>
      </c>
      <c r="G100" s="2" t="str">
        <f>IF(_xlfn.XLOOKUP(C100,customers!$A$1:$A$1001,customers!$C$1:$C$1001,,0)=0,"",_xlfn.XLOOKUP(C100,customers!$A$1:$A$1001,customers!$C$1:$C$1001,,0))</f>
        <v/>
      </c>
      <c r="H100" s="2" t="str">
        <f>_xlfn.XLOOKUP(C100,customers!$A$1:$A$1001,customers!$G$1:$G$1001,,0)</f>
        <v>Ireland</v>
      </c>
      <c r="I100" t="str">
        <f>INDEX(products!$A$1:$G$49,MATCH($D100,products!$A$1:$A$49,0),MATCH(I$1,products!$A$1:$G$1,0))</f>
        <v>Ara</v>
      </c>
      <c r="J100" t="str">
        <f>INDEX(products!$A$1:$G$49,MATCH($D100,products!$A$1:$A$49,0),MATCH(J$1,products!$A$1:$G$1,0))</f>
        <v>D</v>
      </c>
      <c r="K100" s="4">
        <f>INDEX(products!$A$1:$G$49,MATCH($D100,products!$A$1:$A$49,0),MATCH(K$1,products!$A$1:$G$1,0))</f>
        <v>0.2</v>
      </c>
      <c r="L100" s="5">
        <f>INDEX(products!$A$1:$G$49,MATCH($D100,products!$A$1:$A$49,0),MATCH(L$1,products!$A$1:$G$1,0))</f>
        <v>2.9849999999999999</v>
      </c>
      <c r="M100" s="5">
        <f t="shared" si="4"/>
        <v>2.9849999999999999</v>
      </c>
      <c r="N100" t="str">
        <f t="shared" si="6"/>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f>
        <v>Aube Follett</v>
      </c>
      <c r="G101" s="2" t="str">
        <f>IF(_xlfn.XLOOKUP(C101,customers!$A$1:$A$1001,customers!$C$1:$C$1001,,0)=0,"",_xlfn.XLOOKUP(C101,customers!$A$1:$A$1001,customers!$C$1:$C$1001,,0))</f>
        <v/>
      </c>
      <c r="H101" s="2" t="str">
        <f>_xlfn.XLOOKUP(C101,customers!$A$1:$A$1001,customers!$G$1:$G$1001,,0)</f>
        <v>United States</v>
      </c>
      <c r="I101" t="str">
        <f>INDEX(products!$A$1:$G$49,MATCH($D101,products!$A$1:$A$49,0),MATCH(I$1,products!$A$1:$G$1,0))</f>
        <v>Lib</v>
      </c>
      <c r="J101" t="str">
        <f>INDEX(products!$A$1:$G$49,MATCH($D101,products!$A$1:$A$49,0),MATCH(J$1,products!$A$1:$G$1,0))</f>
        <v>M</v>
      </c>
      <c r="K101" s="4">
        <f>INDEX(products!$A$1:$G$49,MATCH($D101,products!$A$1:$A$49,0),MATCH(K$1,products!$A$1:$G$1,0))</f>
        <v>0.2</v>
      </c>
      <c r="L101" s="5">
        <f>INDEX(products!$A$1:$G$49,MATCH($D101,products!$A$1:$A$49,0),MATCH(L$1,products!$A$1:$G$1,0))</f>
        <v>4.3650000000000002</v>
      </c>
      <c r="M101" s="5">
        <f t="shared" si="4"/>
        <v>13.095000000000001</v>
      </c>
      <c r="N101" t="str">
        <f t="shared" si="6"/>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f>
        <v>Rudiger Di Bartolomeo</v>
      </c>
      <c r="G102" s="2" t="str">
        <f>IF(_xlfn.XLOOKUP(C102,customers!$A$1:$A$1001,customers!$C$1:$C$1001,,0)=0,"",_xlfn.XLOOKUP(C102,customers!$A$1:$A$1001,customers!$C$1:$C$1001,,0))</f>
        <v/>
      </c>
      <c r="H102" s="2" t="str">
        <f>_xlfn.XLOOKUP(C102,customers!$A$1:$A$1001,customers!$G$1:$G$1001,,0)</f>
        <v>United States</v>
      </c>
      <c r="I102" t="str">
        <f>INDEX(products!$A$1:$G$49,MATCH($D102,products!$A$1:$A$49,0),MATCH(I$1,products!$A$1:$G$1,0))</f>
        <v>Ara</v>
      </c>
      <c r="J102" t="str">
        <f>INDEX(products!$A$1:$G$49,MATCH($D102,products!$A$1:$A$49,0),MATCH(J$1,products!$A$1:$G$1,0))</f>
        <v>L</v>
      </c>
      <c r="K102" s="4">
        <f>INDEX(products!$A$1:$G$49,MATCH($D102,products!$A$1:$A$49,0),MATCH(K$1,products!$A$1:$G$1,0))</f>
        <v>0.2</v>
      </c>
      <c r="L102" s="5">
        <f>INDEX(products!$A$1:$G$49,MATCH($D102,products!$A$1:$A$49,0),MATCH(L$1,products!$A$1:$G$1,0))</f>
        <v>3.8849999999999998</v>
      </c>
      <c r="M102" s="5">
        <f t="shared" si="4"/>
        <v>7.77</v>
      </c>
      <c r="N102" t="str">
        <f t="shared" si="6"/>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INDEX(products!$A$1:$G$49,MATCH($D103,products!$A$1:$A$49,0),MATCH(I$1,products!$A$1:$G$1,0))</f>
        <v>Lib</v>
      </c>
      <c r="J103" t="str">
        <f>INDEX(products!$A$1:$G$49,MATCH($D103,products!$A$1:$A$49,0),MATCH(J$1,products!$A$1:$G$1,0))</f>
        <v>D</v>
      </c>
      <c r="K103" s="4">
        <f>INDEX(products!$A$1:$G$49,MATCH($D103,products!$A$1:$A$49,0),MATCH(K$1,products!$A$1:$G$1,0))</f>
        <v>2.5</v>
      </c>
      <c r="L103" s="5">
        <f>INDEX(products!$A$1:$G$49,MATCH($D103,products!$A$1:$A$49,0),MATCH(L$1,products!$A$1:$G$1,0))</f>
        <v>29.784999999999997</v>
      </c>
      <c r="M103" s="5">
        <f t="shared" si="4"/>
        <v>148.92499999999998</v>
      </c>
      <c r="N103" t="str">
        <f t="shared" si="6"/>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INDEX(products!$A$1:$G$49,MATCH($D104,products!$A$1:$A$49,0),MATCH(I$1,products!$A$1:$G$1,0))</f>
        <v>Lib</v>
      </c>
      <c r="J104" t="str">
        <f>INDEX(products!$A$1:$G$49,MATCH($D104,products!$A$1:$A$49,0),MATCH(J$1,products!$A$1:$G$1,0))</f>
        <v>D</v>
      </c>
      <c r="K104" s="4">
        <f>INDEX(products!$A$1:$G$49,MATCH($D104,products!$A$1:$A$49,0),MATCH(K$1,products!$A$1:$G$1,0))</f>
        <v>1</v>
      </c>
      <c r="L104" s="5">
        <f>INDEX(products!$A$1:$G$49,MATCH($D104,products!$A$1:$A$49,0),MATCH(L$1,products!$A$1:$G$1,0))</f>
        <v>12.95</v>
      </c>
      <c r="M104" s="5">
        <f t="shared" si="4"/>
        <v>38.849999999999994</v>
      </c>
      <c r="N104" t="str">
        <f t="shared" si="6"/>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INDEX(products!$A$1:$G$49,MATCH($D105,products!$A$1:$A$49,0),MATCH(I$1,products!$A$1:$G$1,0))</f>
        <v>Rob</v>
      </c>
      <c r="J105" t="str">
        <f>INDEX(products!$A$1:$G$49,MATCH($D105,products!$A$1:$A$49,0),MATCH(J$1,products!$A$1:$G$1,0))</f>
        <v>M</v>
      </c>
      <c r="K105" s="4">
        <f>INDEX(products!$A$1:$G$49,MATCH($D105,products!$A$1:$A$49,0),MATCH(K$1,products!$A$1:$G$1,0))</f>
        <v>0.2</v>
      </c>
      <c r="L105" s="5">
        <f>INDEX(products!$A$1:$G$49,MATCH($D105,products!$A$1:$A$49,0),MATCH(L$1,products!$A$1:$G$1,0))</f>
        <v>2.9849999999999999</v>
      </c>
      <c r="M105" s="5">
        <f t="shared" si="4"/>
        <v>11.94</v>
      </c>
      <c r="N105" t="str">
        <f t="shared" si="6"/>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INDEX(products!$A$1:$G$49,MATCH($D106,products!$A$1:$A$49,0),MATCH(I$1,products!$A$1:$G$1,0))</f>
        <v>Lib</v>
      </c>
      <c r="J106" t="str">
        <f>INDEX(products!$A$1:$G$49,MATCH($D106,products!$A$1:$A$49,0),MATCH(J$1,products!$A$1:$G$1,0))</f>
        <v>M</v>
      </c>
      <c r="K106" s="4">
        <f>INDEX(products!$A$1:$G$49,MATCH($D106,products!$A$1:$A$49,0),MATCH(K$1,products!$A$1:$G$1,0))</f>
        <v>1</v>
      </c>
      <c r="L106" s="5">
        <f>INDEX(products!$A$1:$G$49,MATCH($D106,products!$A$1:$A$49,0),MATCH(L$1,products!$A$1:$G$1,0))</f>
        <v>14.55</v>
      </c>
      <c r="M106" s="5">
        <f t="shared" si="4"/>
        <v>87.300000000000011</v>
      </c>
      <c r="N106" t="str">
        <f t="shared" si="6"/>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INDEX(products!$A$1:$G$49,MATCH($D107,products!$A$1:$A$49,0),MATCH(I$1,products!$A$1:$G$1,0))</f>
        <v>Ara</v>
      </c>
      <c r="J107" t="str">
        <f>INDEX(products!$A$1:$G$49,MATCH($D107,products!$A$1:$A$49,0),MATCH(J$1,products!$A$1:$G$1,0))</f>
        <v>M</v>
      </c>
      <c r="K107" s="4">
        <f>INDEX(products!$A$1:$G$49,MATCH($D107,products!$A$1:$A$49,0),MATCH(K$1,products!$A$1:$G$1,0))</f>
        <v>0.5</v>
      </c>
      <c r="L107" s="5">
        <f>INDEX(products!$A$1:$G$49,MATCH($D107,products!$A$1:$A$49,0),MATCH(L$1,products!$A$1:$G$1,0))</f>
        <v>6.75</v>
      </c>
      <c r="M107" s="5">
        <f t="shared" si="4"/>
        <v>40.5</v>
      </c>
      <c r="N107" t="str">
        <f t="shared" si="6"/>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INDEX(products!$A$1:$G$49,MATCH($D108,products!$A$1:$A$49,0),MATCH(I$1,products!$A$1:$G$1,0))</f>
        <v>Exc</v>
      </c>
      <c r="J108" t="str">
        <f>INDEX(products!$A$1:$G$49,MATCH($D108,products!$A$1:$A$49,0),MATCH(J$1,products!$A$1:$G$1,0))</f>
        <v>D</v>
      </c>
      <c r="K108" s="4">
        <f>INDEX(products!$A$1:$G$49,MATCH($D108,products!$A$1:$A$49,0),MATCH(K$1,products!$A$1:$G$1,0))</f>
        <v>1</v>
      </c>
      <c r="L108" s="5">
        <f>INDEX(products!$A$1:$G$49,MATCH($D108,products!$A$1:$A$49,0),MATCH(L$1,products!$A$1:$G$1,0))</f>
        <v>12.15</v>
      </c>
      <c r="M108" s="5">
        <f t="shared" si="4"/>
        <v>24.3</v>
      </c>
      <c r="N108" t="str">
        <f t="shared" si="6"/>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INDEX(products!$A$1:$G$49,MATCH($D109,products!$A$1:$A$49,0),MATCH(I$1,products!$A$1:$G$1,0))</f>
        <v>Rob</v>
      </c>
      <c r="J109" t="str">
        <f>INDEX(products!$A$1:$G$49,MATCH($D109,products!$A$1:$A$49,0),MATCH(J$1,products!$A$1:$G$1,0))</f>
        <v>M</v>
      </c>
      <c r="K109" s="4">
        <f>INDEX(products!$A$1:$G$49,MATCH($D109,products!$A$1:$A$49,0),MATCH(K$1,products!$A$1:$G$1,0))</f>
        <v>0.5</v>
      </c>
      <c r="L109" s="5">
        <f>INDEX(products!$A$1:$G$49,MATCH($D109,products!$A$1:$A$49,0),MATCH(L$1,products!$A$1:$G$1,0))</f>
        <v>5.97</v>
      </c>
      <c r="M109" s="5">
        <f t="shared" si="4"/>
        <v>17.91</v>
      </c>
      <c r="N109" t="str">
        <f t="shared" si="6"/>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f>
        <v>Isahella Hagland</v>
      </c>
      <c r="G110" s="2" t="str">
        <f>IF(_xlfn.XLOOKUP(C110,customers!$A$1:$A$1001,customers!$C$1:$C$1001,,0)=0,"",_xlfn.XLOOKUP(C110,customers!$A$1:$A$1001,customers!$C$1:$C$1001,,0))</f>
        <v/>
      </c>
      <c r="H110" s="2" t="str">
        <f>_xlfn.XLOOKUP(C110,customers!$A$1:$A$1001,customers!$G$1:$G$1001,,0)</f>
        <v>United States</v>
      </c>
      <c r="I110" t="str">
        <f>INDEX(products!$A$1:$G$49,MATCH($D110,products!$A$1:$A$49,0),MATCH(I$1,products!$A$1:$G$1,0))</f>
        <v>Ara</v>
      </c>
      <c r="J110" t="str">
        <f>INDEX(products!$A$1:$G$49,MATCH($D110,products!$A$1:$A$49,0),MATCH(J$1,products!$A$1:$G$1,0))</f>
        <v>M</v>
      </c>
      <c r="K110" s="4">
        <f>INDEX(products!$A$1:$G$49,MATCH($D110,products!$A$1:$A$49,0),MATCH(K$1,products!$A$1:$G$1,0))</f>
        <v>0.5</v>
      </c>
      <c r="L110" s="5">
        <f>INDEX(products!$A$1:$G$49,MATCH($D110,products!$A$1:$A$49,0),MATCH(L$1,products!$A$1:$G$1,0))</f>
        <v>6.75</v>
      </c>
      <c r="M110" s="5">
        <f t="shared" si="4"/>
        <v>27</v>
      </c>
      <c r="N110" t="str">
        <f t="shared" si="6"/>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INDEX(products!$A$1:$G$49,MATCH($D111,products!$A$1:$A$49,0),MATCH(I$1,products!$A$1:$G$1,0))</f>
        <v>Lib</v>
      </c>
      <c r="J111" t="str">
        <f>INDEX(products!$A$1:$G$49,MATCH($D111,products!$A$1:$A$49,0),MATCH(J$1,products!$A$1:$G$1,0))</f>
        <v>D</v>
      </c>
      <c r="K111" s="4">
        <f>INDEX(products!$A$1:$G$49,MATCH($D111,products!$A$1:$A$49,0),MATCH(K$1,products!$A$1:$G$1,0))</f>
        <v>0.5</v>
      </c>
      <c r="L111" s="5">
        <f>INDEX(products!$A$1:$G$49,MATCH($D111,products!$A$1:$A$49,0),MATCH(L$1,products!$A$1:$G$1,0))</f>
        <v>7.77</v>
      </c>
      <c r="M111" s="5">
        <f t="shared" si="4"/>
        <v>7.77</v>
      </c>
      <c r="N111" t="str">
        <f t="shared" si="6"/>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INDEX(products!$A$1:$G$49,MATCH($D112,products!$A$1:$A$49,0),MATCH(I$1,products!$A$1:$G$1,0))</f>
        <v>Exc</v>
      </c>
      <c r="J112" t="str">
        <f>INDEX(products!$A$1:$G$49,MATCH($D112,products!$A$1:$A$49,0),MATCH(J$1,products!$A$1:$G$1,0))</f>
        <v>L</v>
      </c>
      <c r="K112" s="4">
        <f>INDEX(products!$A$1:$G$49,MATCH($D112,products!$A$1:$A$49,0),MATCH(K$1,products!$A$1:$G$1,0))</f>
        <v>0.2</v>
      </c>
      <c r="L112" s="5">
        <f>INDEX(products!$A$1:$G$49,MATCH($D112,products!$A$1:$A$49,0),MATCH(L$1,products!$A$1:$G$1,0))</f>
        <v>4.4550000000000001</v>
      </c>
      <c r="M112" s="5">
        <f t="shared" si="4"/>
        <v>13.365</v>
      </c>
      <c r="N112" t="str">
        <f t="shared" si="6"/>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INDEX(products!$A$1:$G$49,MATCH($D113,products!$A$1:$A$49,0),MATCH(I$1,products!$A$1:$G$1,0))</f>
        <v>Rob</v>
      </c>
      <c r="J113" t="str">
        <f>INDEX(products!$A$1:$G$49,MATCH($D113,products!$A$1:$A$49,0),MATCH(J$1,products!$A$1:$G$1,0))</f>
        <v>D</v>
      </c>
      <c r="K113" s="4">
        <f>INDEX(products!$A$1:$G$49,MATCH($D113,products!$A$1:$A$49,0),MATCH(K$1,products!$A$1:$G$1,0))</f>
        <v>0.5</v>
      </c>
      <c r="L113" s="5">
        <f>INDEX(products!$A$1:$G$49,MATCH($D113,products!$A$1:$A$49,0),MATCH(L$1,products!$A$1:$G$1,0))</f>
        <v>5.3699999999999992</v>
      </c>
      <c r="M113" s="5">
        <f t="shared" si="4"/>
        <v>26.849999999999994</v>
      </c>
      <c r="N113" t="str">
        <f t="shared" si="6"/>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INDEX(products!$A$1:$G$49,MATCH($D114,products!$A$1:$A$49,0),MATCH(I$1,products!$A$1:$G$1,0))</f>
        <v>Ara</v>
      </c>
      <c r="J114" t="str">
        <f>INDEX(products!$A$1:$G$49,MATCH($D114,products!$A$1:$A$49,0),MATCH(J$1,products!$A$1:$G$1,0))</f>
        <v>M</v>
      </c>
      <c r="K114" s="4">
        <f>INDEX(products!$A$1:$G$49,MATCH($D114,products!$A$1:$A$49,0),MATCH(K$1,products!$A$1:$G$1,0))</f>
        <v>1</v>
      </c>
      <c r="L114" s="5">
        <f>INDEX(products!$A$1:$G$49,MATCH($D114,products!$A$1:$A$49,0),MATCH(L$1,products!$A$1:$G$1,0))</f>
        <v>11.25</v>
      </c>
      <c r="M114" s="5">
        <f t="shared" si="4"/>
        <v>11.25</v>
      </c>
      <c r="N114" t="str">
        <f t="shared" si="6"/>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INDEX(products!$A$1:$G$49,MATCH($D115,products!$A$1:$A$49,0),MATCH(I$1,products!$A$1:$G$1,0))</f>
        <v>Lib</v>
      </c>
      <c r="J115" t="str">
        <f>INDEX(products!$A$1:$G$49,MATCH($D115,products!$A$1:$A$49,0),MATCH(J$1,products!$A$1:$G$1,0))</f>
        <v>M</v>
      </c>
      <c r="K115" s="4">
        <f>INDEX(products!$A$1:$G$49,MATCH($D115,products!$A$1:$A$49,0),MATCH(K$1,products!$A$1:$G$1,0))</f>
        <v>1</v>
      </c>
      <c r="L115" s="5">
        <f>INDEX(products!$A$1:$G$49,MATCH($D115,products!$A$1:$A$49,0),MATCH(L$1,products!$A$1:$G$1,0))</f>
        <v>14.55</v>
      </c>
      <c r="M115" s="5">
        <f t="shared" si="4"/>
        <v>14.55</v>
      </c>
      <c r="N115" t="str">
        <f t="shared" si="6"/>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f>
        <v>Carmina Hubbuck</v>
      </c>
      <c r="G116" s="2" t="str">
        <f>IF(_xlfn.XLOOKUP(C116,customers!$A$1:$A$1001,customers!$C$1:$C$1001,,0)=0,"",_xlfn.XLOOKUP(C116,customers!$A$1:$A$1001,customers!$C$1:$C$1001,,0))</f>
        <v/>
      </c>
      <c r="H116" s="2" t="str">
        <f>_xlfn.XLOOKUP(C116,customers!$A$1:$A$1001,customers!$G$1:$G$1001,,0)</f>
        <v>United States</v>
      </c>
      <c r="I116" t="str">
        <f>INDEX(products!$A$1:$G$49,MATCH($D116,products!$A$1:$A$49,0),MATCH(I$1,products!$A$1:$G$1,0))</f>
        <v>Rob</v>
      </c>
      <c r="J116" t="str">
        <f>INDEX(products!$A$1:$G$49,MATCH($D116,products!$A$1:$A$49,0),MATCH(J$1,products!$A$1:$G$1,0))</f>
        <v>L</v>
      </c>
      <c r="K116" s="4">
        <f>INDEX(products!$A$1:$G$49,MATCH($D116,products!$A$1:$A$49,0),MATCH(K$1,products!$A$1:$G$1,0))</f>
        <v>0.2</v>
      </c>
      <c r="L116" s="5">
        <f>INDEX(products!$A$1:$G$49,MATCH($D116,products!$A$1:$A$49,0),MATCH(L$1,products!$A$1:$G$1,0))</f>
        <v>3.5849999999999995</v>
      </c>
      <c r="M116" s="5">
        <f t="shared" si="4"/>
        <v>14.339999999999998</v>
      </c>
      <c r="N116" t="str">
        <f t="shared" si="6"/>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INDEX(products!$A$1:$G$49,MATCH($D117,products!$A$1:$A$49,0),MATCH(I$1,products!$A$1:$G$1,0))</f>
        <v>Lib</v>
      </c>
      <c r="J117" t="str">
        <f>INDEX(products!$A$1:$G$49,MATCH($D117,products!$A$1:$A$49,0),MATCH(J$1,products!$A$1:$G$1,0))</f>
        <v>L</v>
      </c>
      <c r="K117" s="4">
        <f>INDEX(products!$A$1:$G$49,MATCH($D117,products!$A$1:$A$49,0),MATCH(K$1,products!$A$1:$G$1,0))</f>
        <v>1</v>
      </c>
      <c r="L117" s="5">
        <f>INDEX(products!$A$1:$G$49,MATCH($D117,products!$A$1:$A$49,0),MATCH(L$1,products!$A$1:$G$1,0))</f>
        <v>15.85</v>
      </c>
      <c r="M117" s="5">
        <f t="shared" si="4"/>
        <v>15.85</v>
      </c>
      <c r="N117" t="str">
        <f t="shared" si="6"/>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INDEX(products!$A$1:$G$49,MATCH($D118,products!$A$1:$A$49,0),MATCH(I$1,products!$A$1:$G$1,0))</f>
        <v>Lib</v>
      </c>
      <c r="J118" t="str">
        <f>INDEX(products!$A$1:$G$49,MATCH($D118,products!$A$1:$A$49,0),MATCH(J$1,products!$A$1:$G$1,0))</f>
        <v>L</v>
      </c>
      <c r="K118" s="4">
        <f>INDEX(products!$A$1:$G$49,MATCH($D118,products!$A$1:$A$49,0),MATCH(K$1,products!$A$1:$G$1,0))</f>
        <v>0.2</v>
      </c>
      <c r="L118" s="5">
        <f>INDEX(products!$A$1:$G$49,MATCH($D118,products!$A$1:$A$49,0),MATCH(L$1,products!$A$1:$G$1,0))</f>
        <v>4.7549999999999999</v>
      </c>
      <c r="M118" s="5">
        <f t="shared" si="4"/>
        <v>19.02</v>
      </c>
      <c r="N118" t="str">
        <f t="shared" si="6"/>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INDEX(products!$A$1:$G$49,MATCH($D119,products!$A$1:$A$49,0),MATCH(I$1,products!$A$1:$G$1,0))</f>
        <v>Lib</v>
      </c>
      <c r="J119" t="str">
        <f>INDEX(products!$A$1:$G$49,MATCH($D119,products!$A$1:$A$49,0),MATCH(J$1,products!$A$1:$G$1,0))</f>
        <v>L</v>
      </c>
      <c r="K119" s="4">
        <f>INDEX(products!$A$1:$G$49,MATCH($D119,products!$A$1:$A$49,0),MATCH(K$1,products!$A$1:$G$1,0))</f>
        <v>0.5</v>
      </c>
      <c r="L119" s="5">
        <f>INDEX(products!$A$1:$G$49,MATCH($D119,products!$A$1:$A$49,0),MATCH(L$1,products!$A$1:$G$1,0))</f>
        <v>9.51</v>
      </c>
      <c r="M119" s="5">
        <f t="shared" si="4"/>
        <v>38.04</v>
      </c>
      <c r="N119" t="str">
        <f t="shared" si="6"/>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INDEX(products!$A$1:$G$49,MATCH($D120,products!$A$1:$A$49,0),MATCH(I$1,products!$A$1:$G$1,0))</f>
        <v>Exc</v>
      </c>
      <c r="J120" t="str">
        <f>INDEX(products!$A$1:$G$49,MATCH($D120,products!$A$1:$A$49,0),MATCH(J$1,products!$A$1:$G$1,0))</f>
        <v>D</v>
      </c>
      <c r="K120" s="4">
        <f>INDEX(products!$A$1:$G$49,MATCH($D120,products!$A$1:$A$49,0),MATCH(K$1,products!$A$1:$G$1,0))</f>
        <v>0.5</v>
      </c>
      <c r="L120" s="5">
        <f>INDEX(products!$A$1:$G$49,MATCH($D120,products!$A$1:$A$49,0),MATCH(L$1,products!$A$1:$G$1,0))</f>
        <v>7.29</v>
      </c>
      <c r="M120" s="5">
        <f t="shared" si="4"/>
        <v>21.87</v>
      </c>
      <c r="N120" t="str">
        <f t="shared" si="6"/>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INDEX(products!$A$1:$G$49,MATCH($D121,products!$A$1:$A$49,0),MATCH(I$1,products!$A$1:$G$1,0))</f>
        <v>Exc</v>
      </c>
      <c r="J121" t="str">
        <f>INDEX(products!$A$1:$G$49,MATCH($D121,products!$A$1:$A$49,0),MATCH(J$1,products!$A$1:$G$1,0))</f>
        <v>M</v>
      </c>
      <c r="K121" s="4">
        <f>INDEX(products!$A$1:$G$49,MATCH($D121,products!$A$1:$A$49,0),MATCH(K$1,products!$A$1:$G$1,0))</f>
        <v>0.2</v>
      </c>
      <c r="L121" s="5">
        <f>INDEX(products!$A$1:$G$49,MATCH($D121,products!$A$1:$A$49,0),MATCH(L$1,products!$A$1:$G$1,0))</f>
        <v>4.125</v>
      </c>
      <c r="M121" s="5">
        <f t="shared" si="4"/>
        <v>4.125</v>
      </c>
      <c r="N121" t="str">
        <f t="shared" si="6"/>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INDEX(products!$A$1:$G$49,MATCH($D122,products!$A$1:$A$49,0),MATCH(I$1,products!$A$1:$G$1,0))</f>
        <v>Ara</v>
      </c>
      <c r="J122" t="str">
        <f>INDEX(products!$A$1:$G$49,MATCH($D122,products!$A$1:$A$49,0),MATCH(J$1,products!$A$1:$G$1,0))</f>
        <v>L</v>
      </c>
      <c r="K122" s="4">
        <f>INDEX(products!$A$1:$G$49,MATCH($D122,products!$A$1:$A$49,0),MATCH(K$1,products!$A$1:$G$1,0))</f>
        <v>0.2</v>
      </c>
      <c r="L122" s="5">
        <f>INDEX(products!$A$1:$G$49,MATCH($D122,products!$A$1:$A$49,0),MATCH(L$1,products!$A$1:$G$1,0))</f>
        <v>3.8849999999999998</v>
      </c>
      <c r="M122" s="5">
        <f t="shared" si="4"/>
        <v>3.8849999999999998</v>
      </c>
      <c r="N122" t="str">
        <f t="shared" si="6"/>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INDEX(products!$A$1:$G$49,MATCH($D123,products!$A$1:$A$49,0),MATCH(I$1,products!$A$1:$G$1,0))</f>
        <v>Exc</v>
      </c>
      <c r="J123" t="str">
        <f>INDEX(products!$A$1:$G$49,MATCH($D123,products!$A$1:$A$49,0),MATCH(J$1,products!$A$1:$G$1,0))</f>
        <v>M</v>
      </c>
      <c r="K123" s="4">
        <f>INDEX(products!$A$1:$G$49,MATCH($D123,products!$A$1:$A$49,0),MATCH(K$1,products!$A$1:$G$1,0))</f>
        <v>1</v>
      </c>
      <c r="L123" s="5">
        <f>INDEX(products!$A$1:$G$49,MATCH($D123,products!$A$1:$A$49,0),MATCH(L$1,products!$A$1:$G$1,0))</f>
        <v>13.75</v>
      </c>
      <c r="M123" s="5">
        <f t="shared" si="4"/>
        <v>68.75</v>
      </c>
      <c r="N123" t="str">
        <f t="shared" si="6"/>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INDEX(products!$A$1:$G$49,MATCH($D124,products!$A$1:$A$49,0),MATCH(I$1,products!$A$1:$G$1,0))</f>
        <v>Ara</v>
      </c>
      <c r="J124" t="str">
        <f>INDEX(products!$A$1:$G$49,MATCH($D124,products!$A$1:$A$49,0),MATCH(J$1,products!$A$1:$G$1,0))</f>
        <v>D</v>
      </c>
      <c r="K124" s="4">
        <f>INDEX(products!$A$1:$G$49,MATCH($D124,products!$A$1:$A$49,0),MATCH(K$1,products!$A$1:$G$1,0))</f>
        <v>0.5</v>
      </c>
      <c r="L124" s="5">
        <f>INDEX(products!$A$1:$G$49,MATCH($D124,products!$A$1:$A$49,0),MATCH(L$1,products!$A$1:$G$1,0))</f>
        <v>5.97</v>
      </c>
      <c r="M124" s="5">
        <f t="shared" si="4"/>
        <v>23.88</v>
      </c>
      <c r="N124" t="str">
        <f t="shared" si="6"/>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INDEX(products!$A$1:$G$49,MATCH($D125,products!$A$1:$A$49,0),MATCH(I$1,products!$A$1:$G$1,0))</f>
        <v>Lib</v>
      </c>
      <c r="J125" t="str">
        <f>INDEX(products!$A$1:$G$49,MATCH($D125,products!$A$1:$A$49,0),MATCH(J$1,products!$A$1:$G$1,0))</f>
        <v>L</v>
      </c>
      <c r="K125" s="4">
        <f>INDEX(products!$A$1:$G$49,MATCH($D125,products!$A$1:$A$49,0),MATCH(K$1,products!$A$1:$G$1,0))</f>
        <v>2.5</v>
      </c>
      <c r="L125" s="5">
        <f>INDEX(products!$A$1:$G$49,MATCH($D125,products!$A$1:$A$49,0),MATCH(L$1,products!$A$1:$G$1,0))</f>
        <v>36.454999999999998</v>
      </c>
      <c r="M125" s="5">
        <f t="shared" si="4"/>
        <v>145.82</v>
      </c>
      <c r="N125" t="str">
        <f t="shared" si="6"/>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INDEX(products!$A$1:$G$49,MATCH($D126,products!$A$1:$A$49,0),MATCH(I$1,products!$A$1:$G$1,0))</f>
        <v>Lib</v>
      </c>
      <c r="J126" t="str">
        <f>INDEX(products!$A$1:$G$49,MATCH($D126,products!$A$1:$A$49,0),MATCH(J$1,products!$A$1:$G$1,0))</f>
        <v>M</v>
      </c>
      <c r="K126" s="4">
        <f>INDEX(products!$A$1:$G$49,MATCH($D126,products!$A$1:$A$49,0),MATCH(K$1,products!$A$1:$G$1,0))</f>
        <v>0.2</v>
      </c>
      <c r="L126" s="5">
        <f>INDEX(products!$A$1:$G$49,MATCH($D126,products!$A$1:$A$49,0),MATCH(L$1,products!$A$1:$G$1,0))</f>
        <v>4.3650000000000002</v>
      </c>
      <c r="M126" s="5">
        <f t="shared" si="4"/>
        <v>21.825000000000003</v>
      </c>
      <c r="N126" t="str">
        <f t="shared" si="6"/>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INDEX(products!$A$1:$G$49,MATCH($D127,products!$A$1:$A$49,0),MATCH(I$1,products!$A$1:$G$1,0))</f>
        <v>Lib</v>
      </c>
      <c r="J127" t="str">
        <f>INDEX(products!$A$1:$G$49,MATCH($D127,products!$A$1:$A$49,0),MATCH(J$1,products!$A$1:$G$1,0))</f>
        <v>M</v>
      </c>
      <c r="K127" s="4">
        <f>INDEX(products!$A$1:$G$49,MATCH($D127,products!$A$1:$A$49,0),MATCH(K$1,products!$A$1:$G$1,0))</f>
        <v>0.5</v>
      </c>
      <c r="L127" s="5">
        <f>INDEX(products!$A$1:$G$49,MATCH($D127,products!$A$1:$A$49,0),MATCH(L$1,products!$A$1:$G$1,0))</f>
        <v>8.73</v>
      </c>
      <c r="M127" s="5">
        <f t="shared" si="4"/>
        <v>26.19</v>
      </c>
      <c r="N127" t="str">
        <f t="shared" si="6"/>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INDEX(products!$A$1:$G$49,MATCH($D128,products!$A$1:$A$49,0),MATCH(I$1,products!$A$1:$G$1,0))</f>
        <v>Ara</v>
      </c>
      <c r="J128" t="str">
        <f>INDEX(products!$A$1:$G$49,MATCH($D128,products!$A$1:$A$49,0),MATCH(J$1,products!$A$1:$G$1,0))</f>
        <v>M</v>
      </c>
      <c r="K128" s="4">
        <f>INDEX(products!$A$1:$G$49,MATCH($D128,products!$A$1:$A$49,0),MATCH(K$1,products!$A$1:$G$1,0))</f>
        <v>1</v>
      </c>
      <c r="L128" s="5">
        <f>INDEX(products!$A$1:$G$49,MATCH($D128,products!$A$1:$A$49,0),MATCH(L$1,products!$A$1:$G$1,0))</f>
        <v>11.25</v>
      </c>
      <c r="M128" s="5">
        <f t="shared" si="4"/>
        <v>11.25</v>
      </c>
      <c r="N128" t="str">
        <f t="shared" si="6"/>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INDEX(products!$A$1:$G$49,MATCH($D129,products!$A$1:$A$49,0),MATCH(I$1,products!$A$1:$G$1,0))</f>
        <v>Lib</v>
      </c>
      <c r="J129" t="str">
        <f>INDEX(products!$A$1:$G$49,MATCH($D129,products!$A$1:$A$49,0),MATCH(J$1,products!$A$1:$G$1,0))</f>
        <v>D</v>
      </c>
      <c r="K129" s="4">
        <f>INDEX(products!$A$1:$G$49,MATCH($D129,products!$A$1:$A$49,0),MATCH(K$1,products!$A$1:$G$1,0))</f>
        <v>1</v>
      </c>
      <c r="L129" s="5">
        <f>INDEX(products!$A$1:$G$49,MATCH($D129,products!$A$1:$A$49,0),MATCH(L$1,products!$A$1:$G$1,0))</f>
        <v>12.95</v>
      </c>
      <c r="M129" s="5">
        <f t="shared" si="4"/>
        <v>77.699999999999989</v>
      </c>
      <c r="N129" t="str">
        <f t="shared" si="6"/>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INDEX(products!$A$1:$G$49,MATCH($D130,products!$A$1:$A$49,0),MATCH(I$1,products!$A$1:$G$1,0))</f>
        <v>Ara</v>
      </c>
      <c r="J130" t="str">
        <f>INDEX(products!$A$1:$G$49,MATCH($D130,products!$A$1:$A$49,0),MATCH(J$1,products!$A$1:$G$1,0))</f>
        <v>M</v>
      </c>
      <c r="K130" s="4">
        <f>INDEX(products!$A$1:$G$49,MATCH($D130,products!$A$1:$A$49,0),MATCH(K$1,products!$A$1:$G$1,0))</f>
        <v>0.5</v>
      </c>
      <c r="L130" s="5">
        <f>INDEX(products!$A$1:$G$49,MATCH($D130,products!$A$1:$A$49,0),MATCH(L$1,products!$A$1:$G$1,0))</f>
        <v>6.75</v>
      </c>
      <c r="M130" s="5">
        <f t="shared" si="4"/>
        <v>6.75</v>
      </c>
      <c r="N130" t="str">
        <f t="shared" si="6"/>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INDEX(products!$A$1:$G$49,MATCH($D131,products!$A$1:$A$49,0),MATCH(I$1,products!$A$1:$G$1,0))</f>
        <v>Exc</v>
      </c>
      <c r="J131" t="str">
        <f>INDEX(products!$A$1:$G$49,MATCH($D131,products!$A$1:$A$49,0),MATCH(J$1,products!$A$1:$G$1,0))</f>
        <v>D</v>
      </c>
      <c r="K131" s="4">
        <f>INDEX(products!$A$1:$G$49,MATCH($D131,products!$A$1:$A$49,0),MATCH(K$1,products!$A$1:$G$1,0))</f>
        <v>1</v>
      </c>
      <c r="L131" s="5">
        <f>INDEX(products!$A$1:$G$49,MATCH($D131,products!$A$1:$A$49,0),MATCH(L$1,products!$A$1:$G$1,0))</f>
        <v>12.15</v>
      </c>
      <c r="M131" s="5">
        <f t="shared" ref="M131:M194" si="7">L131*E131</f>
        <v>12.15</v>
      </c>
      <c r="N131" t="str">
        <f t="shared" si="6"/>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f>
        <v>Bidget Tremellier</v>
      </c>
      <c r="G132" s="2" t="str">
        <f>IF(_xlfn.XLOOKUP(C132,customers!$A$1:$A$1001,customers!$C$1:$C$1001,,0)=0,"",_xlfn.XLOOKUP(C132,customers!$A$1:$A$1001,customers!$C$1:$C$1001,,0))</f>
        <v/>
      </c>
      <c r="H132" s="2" t="str">
        <f>_xlfn.XLOOKUP(C132,customers!$A$1:$A$1001,customers!$G$1:$G$1001,,0)</f>
        <v>Ireland</v>
      </c>
      <c r="I132" t="str">
        <f>INDEX(products!$A$1:$G$49,MATCH($D132,products!$A$1:$A$49,0),MATCH(I$1,products!$A$1:$G$1,0))</f>
        <v>Ara</v>
      </c>
      <c r="J132" t="str">
        <f>INDEX(products!$A$1:$G$49,MATCH($D132,products!$A$1:$A$49,0),MATCH(J$1,products!$A$1:$G$1,0))</f>
        <v>L</v>
      </c>
      <c r="K132" s="4">
        <f>INDEX(products!$A$1:$G$49,MATCH($D132,products!$A$1:$A$49,0),MATCH(K$1,products!$A$1:$G$1,0))</f>
        <v>2.5</v>
      </c>
      <c r="L132" s="5">
        <f>INDEX(products!$A$1:$G$49,MATCH($D132,products!$A$1:$A$49,0),MATCH(L$1,products!$A$1:$G$1,0))</f>
        <v>29.784999999999997</v>
      </c>
      <c r="M132" s="5">
        <f t="shared" si="7"/>
        <v>148.92499999999998</v>
      </c>
      <c r="N132" t="str">
        <f t="shared" si="6"/>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INDEX(products!$A$1:$G$49,MATCH($D133,products!$A$1:$A$49,0),MATCH(I$1,products!$A$1:$G$1,0))</f>
        <v>Exc</v>
      </c>
      <c r="J133" t="str">
        <f>INDEX(products!$A$1:$G$49,MATCH($D133,products!$A$1:$A$49,0),MATCH(J$1,products!$A$1:$G$1,0))</f>
        <v>D</v>
      </c>
      <c r="K133" s="4">
        <f>INDEX(products!$A$1:$G$49,MATCH($D133,products!$A$1:$A$49,0),MATCH(K$1,products!$A$1:$G$1,0))</f>
        <v>0.5</v>
      </c>
      <c r="L133" s="5">
        <f>INDEX(products!$A$1:$G$49,MATCH($D133,products!$A$1:$A$49,0),MATCH(L$1,products!$A$1:$G$1,0))</f>
        <v>7.29</v>
      </c>
      <c r="M133" s="5">
        <f t="shared" si="7"/>
        <v>14.58</v>
      </c>
      <c r="N133" t="str">
        <f t="shared" si="6"/>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INDEX(products!$A$1:$G$49,MATCH($D134,products!$A$1:$A$49,0),MATCH(I$1,products!$A$1:$G$1,0))</f>
        <v>Ara</v>
      </c>
      <c r="J134" t="str">
        <f>INDEX(products!$A$1:$G$49,MATCH($D134,products!$A$1:$A$49,0),MATCH(J$1,products!$A$1:$G$1,0))</f>
        <v>L</v>
      </c>
      <c r="K134" s="4">
        <f>INDEX(products!$A$1:$G$49,MATCH($D134,products!$A$1:$A$49,0),MATCH(K$1,products!$A$1:$G$1,0))</f>
        <v>2.5</v>
      </c>
      <c r="L134" s="5">
        <f>INDEX(products!$A$1:$G$49,MATCH($D134,products!$A$1:$A$49,0),MATCH(L$1,products!$A$1:$G$1,0))</f>
        <v>29.784999999999997</v>
      </c>
      <c r="M134" s="5">
        <f t="shared" si="7"/>
        <v>148.92499999999998</v>
      </c>
      <c r="N134" t="str">
        <f t="shared" si="6"/>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INDEX(products!$A$1:$G$49,MATCH($D135,products!$A$1:$A$49,0),MATCH(I$1,products!$A$1:$G$1,0))</f>
        <v>Lib</v>
      </c>
      <c r="J135" t="str">
        <f>INDEX(products!$A$1:$G$49,MATCH($D135,products!$A$1:$A$49,0),MATCH(J$1,products!$A$1:$G$1,0))</f>
        <v>D</v>
      </c>
      <c r="K135" s="4">
        <f>INDEX(products!$A$1:$G$49,MATCH($D135,products!$A$1:$A$49,0),MATCH(K$1,products!$A$1:$G$1,0))</f>
        <v>1</v>
      </c>
      <c r="L135" s="5">
        <f>INDEX(products!$A$1:$G$49,MATCH($D135,products!$A$1:$A$49,0),MATCH(L$1,products!$A$1:$G$1,0))</f>
        <v>12.95</v>
      </c>
      <c r="M135" s="5">
        <f t="shared" si="7"/>
        <v>12.95</v>
      </c>
      <c r="N135" t="str">
        <f t="shared" ref="N135:N198" si="9">IF(I135="Rob","Robusta",IF(I135="Ara","Arabica",IF(I135="Exc","Excelsa",IF(I135="Lib","Liberica",""))))</f>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f>
        <v>Ewell Hanby</v>
      </c>
      <c r="G136" s="2" t="str">
        <f>IF(_xlfn.XLOOKUP(C136,customers!$A$1:$A$1001,customers!$C$1:$C$1001,,0)=0,"",_xlfn.XLOOKUP(C136,customers!$A$1:$A$1001,customers!$C$1:$C$1001,,0))</f>
        <v/>
      </c>
      <c r="H136" s="2" t="str">
        <f>_xlfn.XLOOKUP(C136,customers!$A$1:$A$1001,customers!$G$1:$G$1001,,0)</f>
        <v>United States</v>
      </c>
      <c r="I136" t="str">
        <f>INDEX(products!$A$1:$G$49,MATCH($D136,products!$A$1:$A$49,0),MATCH(I$1,products!$A$1:$G$1,0))</f>
        <v>Exc</v>
      </c>
      <c r="J136" t="str">
        <f>INDEX(products!$A$1:$G$49,MATCH($D136,products!$A$1:$A$49,0),MATCH(J$1,products!$A$1:$G$1,0))</f>
        <v>M</v>
      </c>
      <c r="K136" s="4">
        <f>INDEX(products!$A$1:$G$49,MATCH($D136,products!$A$1:$A$49,0),MATCH(K$1,products!$A$1:$G$1,0))</f>
        <v>2.5</v>
      </c>
      <c r="L136" s="5">
        <f>INDEX(products!$A$1:$G$49,MATCH($D136,products!$A$1:$A$49,0),MATCH(L$1,products!$A$1:$G$1,0))</f>
        <v>31.624999999999996</v>
      </c>
      <c r="M136" s="5">
        <f t="shared" si="7"/>
        <v>94.874999999999986</v>
      </c>
      <c r="N136" t="str">
        <f t="shared" si="9"/>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INDEX(products!$A$1:$G$49,MATCH($D137,products!$A$1:$A$49,0),MATCH(I$1,products!$A$1:$G$1,0))</f>
        <v>Ara</v>
      </c>
      <c r="J137" t="str">
        <f>INDEX(products!$A$1:$G$49,MATCH($D137,products!$A$1:$A$49,0),MATCH(J$1,products!$A$1:$G$1,0))</f>
        <v>L</v>
      </c>
      <c r="K137" s="4">
        <f>INDEX(products!$A$1:$G$49,MATCH($D137,products!$A$1:$A$49,0),MATCH(K$1,products!$A$1:$G$1,0))</f>
        <v>0.5</v>
      </c>
      <c r="L137" s="5">
        <f>INDEX(products!$A$1:$G$49,MATCH($D137,products!$A$1:$A$49,0),MATCH(L$1,products!$A$1:$G$1,0))</f>
        <v>7.77</v>
      </c>
      <c r="M137" s="5">
        <f t="shared" si="7"/>
        <v>38.849999999999994</v>
      </c>
      <c r="N137" t="str">
        <f t="shared" si="9"/>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INDEX(products!$A$1:$G$49,MATCH($D138,products!$A$1:$A$49,0),MATCH(I$1,products!$A$1:$G$1,0))</f>
        <v>Ara</v>
      </c>
      <c r="J138" t="str">
        <f>INDEX(products!$A$1:$G$49,MATCH($D138,products!$A$1:$A$49,0),MATCH(J$1,products!$A$1:$G$1,0))</f>
        <v>D</v>
      </c>
      <c r="K138" s="4">
        <f>INDEX(products!$A$1:$G$49,MATCH($D138,products!$A$1:$A$49,0),MATCH(K$1,products!$A$1:$G$1,0))</f>
        <v>0.2</v>
      </c>
      <c r="L138" s="5">
        <f>INDEX(products!$A$1:$G$49,MATCH($D138,products!$A$1:$A$49,0),MATCH(L$1,products!$A$1:$G$1,0))</f>
        <v>2.9849999999999999</v>
      </c>
      <c r="M138" s="5">
        <f t="shared" si="7"/>
        <v>11.94</v>
      </c>
      <c r="N138" t="str">
        <f t="shared" si="9"/>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f>
        <v>Elonore Joliffe</v>
      </c>
      <c r="G139" s="2" t="str">
        <f>IF(_xlfn.XLOOKUP(C139,customers!$A$1:$A$1001,customers!$C$1:$C$1001,,0)=0,"",_xlfn.XLOOKUP(C139,customers!$A$1:$A$1001,customers!$C$1:$C$1001,,0))</f>
        <v/>
      </c>
      <c r="H139" s="2" t="str">
        <f>_xlfn.XLOOKUP(C139,customers!$A$1:$A$1001,customers!$G$1:$G$1001,,0)</f>
        <v>Ireland</v>
      </c>
      <c r="I139" t="str">
        <f>INDEX(products!$A$1:$G$49,MATCH($D139,products!$A$1:$A$49,0),MATCH(I$1,products!$A$1:$G$1,0))</f>
        <v>Exc</v>
      </c>
      <c r="J139" t="str">
        <f>INDEX(products!$A$1:$G$49,MATCH($D139,products!$A$1:$A$49,0),MATCH(J$1,products!$A$1:$G$1,0))</f>
        <v>L</v>
      </c>
      <c r="K139" s="4">
        <f>INDEX(products!$A$1:$G$49,MATCH($D139,products!$A$1:$A$49,0),MATCH(K$1,products!$A$1:$G$1,0))</f>
        <v>2.5</v>
      </c>
      <c r="L139" s="5">
        <f>INDEX(products!$A$1:$G$49,MATCH($D139,products!$A$1:$A$49,0),MATCH(L$1,products!$A$1:$G$1,0))</f>
        <v>34.154999999999994</v>
      </c>
      <c r="M139" s="5">
        <f t="shared" si="7"/>
        <v>102.46499999999997</v>
      </c>
      <c r="N139" t="str">
        <f t="shared" si="9"/>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f>
        <v>Abraham Coleman</v>
      </c>
      <c r="G140" s="2" t="str">
        <f>IF(_xlfn.XLOOKUP(C140,customers!$A$1:$A$1001,customers!$C$1:$C$1001,,0)=0,"",_xlfn.XLOOKUP(C140,customers!$A$1:$A$1001,customers!$C$1:$C$1001,,0))</f>
        <v/>
      </c>
      <c r="H140" s="2" t="str">
        <f>_xlfn.XLOOKUP(C140,customers!$A$1:$A$1001,customers!$G$1:$G$1001,,0)</f>
        <v>United States</v>
      </c>
      <c r="I140" t="str">
        <f>INDEX(products!$A$1:$G$49,MATCH($D140,products!$A$1:$A$49,0),MATCH(I$1,products!$A$1:$G$1,0))</f>
        <v>Exc</v>
      </c>
      <c r="J140" t="str">
        <f>INDEX(products!$A$1:$G$49,MATCH($D140,products!$A$1:$A$49,0),MATCH(J$1,products!$A$1:$G$1,0))</f>
        <v>D</v>
      </c>
      <c r="K140" s="4">
        <f>INDEX(products!$A$1:$G$49,MATCH($D140,products!$A$1:$A$49,0),MATCH(K$1,products!$A$1:$G$1,0))</f>
        <v>1</v>
      </c>
      <c r="L140" s="5">
        <f>INDEX(products!$A$1:$G$49,MATCH($D140,products!$A$1:$A$49,0),MATCH(L$1,products!$A$1:$G$1,0))</f>
        <v>12.15</v>
      </c>
      <c r="M140" s="5">
        <f t="shared" si="7"/>
        <v>48.6</v>
      </c>
      <c r="N140" t="str">
        <f t="shared" si="9"/>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f>
        <v>Rivy Farington</v>
      </c>
      <c r="G141" s="2" t="str">
        <f>IF(_xlfn.XLOOKUP(C141,customers!$A$1:$A$1001,customers!$C$1:$C$1001,,0)=0,"",_xlfn.XLOOKUP(C141,customers!$A$1:$A$1001,customers!$C$1:$C$1001,,0))</f>
        <v/>
      </c>
      <c r="H141" s="2" t="str">
        <f>_xlfn.XLOOKUP(C141,customers!$A$1:$A$1001,customers!$G$1:$G$1001,,0)</f>
        <v>United States</v>
      </c>
      <c r="I141" t="str">
        <f>INDEX(products!$A$1:$G$49,MATCH($D141,products!$A$1:$A$49,0),MATCH(I$1,products!$A$1:$G$1,0))</f>
        <v>Lib</v>
      </c>
      <c r="J141" t="str">
        <f>INDEX(products!$A$1:$G$49,MATCH($D141,products!$A$1:$A$49,0),MATCH(J$1,products!$A$1:$G$1,0))</f>
        <v>D</v>
      </c>
      <c r="K141" s="4">
        <f>INDEX(products!$A$1:$G$49,MATCH($D141,products!$A$1:$A$49,0),MATCH(K$1,products!$A$1:$G$1,0))</f>
        <v>1</v>
      </c>
      <c r="L141" s="5">
        <f>INDEX(products!$A$1:$G$49,MATCH($D141,products!$A$1:$A$49,0),MATCH(L$1,products!$A$1:$G$1,0))</f>
        <v>12.95</v>
      </c>
      <c r="M141" s="5">
        <f t="shared" si="7"/>
        <v>77.699999999999989</v>
      </c>
      <c r="N141" t="str">
        <f t="shared" si="9"/>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INDEX(products!$A$1:$G$49,MATCH($D142,products!$A$1:$A$49,0),MATCH(I$1,products!$A$1:$G$1,0))</f>
        <v>Lib</v>
      </c>
      <c r="J142" t="str">
        <f>INDEX(products!$A$1:$G$49,MATCH($D142,products!$A$1:$A$49,0),MATCH(J$1,products!$A$1:$G$1,0))</f>
        <v>D</v>
      </c>
      <c r="K142" s="4">
        <f>INDEX(products!$A$1:$G$49,MATCH($D142,products!$A$1:$A$49,0),MATCH(K$1,products!$A$1:$G$1,0))</f>
        <v>2.5</v>
      </c>
      <c r="L142" s="5">
        <f>INDEX(products!$A$1:$G$49,MATCH($D142,products!$A$1:$A$49,0),MATCH(L$1,products!$A$1:$G$1,0))</f>
        <v>29.784999999999997</v>
      </c>
      <c r="M142" s="5">
        <f t="shared" si="7"/>
        <v>29.784999999999997</v>
      </c>
      <c r="N142" t="str">
        <f t="shared" si="9"/>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f>
        <v>Boyd Bett</v>
      </c>
      <c r="G143" s="2" t="str">
        <f>IF(_xlfn.XLOOKUP(C143,customers!$A$1:$A$1001,customers!$C$1:$C$1001,,0)=0,"",_xlfn.XLOOKUP(C143,customers!$A$1:$A$1001,customers!$C$1:$C$1001,,0))</f>
        <v>bbett3x@google.de</v>
      </c>
      <c r="H143" s="2" t="str">
        <f>_xlfn.XLOOKUP(C143,customers!$A$1:$A$1001,customers!$G$1:$G$1001,,0)</f>
        <v>United States</v>
      </c>
      <c r="I143" t="str">
        <f>INDEX(products!$A$1:$G$49,MATCH($D143,products!$A$1:$A$49,0),MATCH(I$1,products!$A$1:$G$1,0))</f>
        <v>Ara</v>
      </c>
      <c r="J143" t="str">
        <f>INDEX(products!$A$1:$G$49,MATCH($D143,products!$A$1:$A$49,0),MATCH(J$1,products!$A$1:$G$1,0))</f>
        <v>L</v>
      </c>
      <c r="K143" s="4">
        <f>INDEX(products!$A$1:$G$49,MATCH($D143,products!$A$1:$A$49,0),MATCH(K$1,products!$A$1:$G$1,0))</f>
        <v>0.2</v>
      </c>
      <c r="L143" s="5">
        <f>INDEX(products!$A$1:$G$49,MATCH($D143,products!$A$1:$A$49,0),MATCH(L$1,products!$A$1:$G$1,0))</f>
        <v>3.8849999999999998</v>
      </c>
      <c r="M143" s="5">
        <f t="shared" si="7"/>
        <v>15.54</v>
      </c>
      <c r="N143" t="str">
        <f t="shared" si="9"/>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f>
        <v>Julio Armytage</v>
      </c>
      <c r="G144" s="2" t="str">
        <f>IF(_xlfn.XLOOKUP(C144,customers!$A$1:$A$1001,customers!$C$1:$C$1001,,0)=0,"",_xlfn.XLOOKUP(C144,customers!$A$1:$A$1001,customers!$C$1:$C$1001,,0))</f>
        <v/>
      </c>
      <c r="H144" s="2" t="str">
        <f>_xlfn.XLOOKUP(C144,customers!$A$1:$A$1001,customers!$G$1:$G$1001,,0)</f>
        <v>Ireland</v>
      </c>
      <c r="I144" t="str">
        <f>INDEX(products!$A$1:$G$49,MATCH($D144,products!$A$1:$A$49,0),MATCH(I$1,products!$A$1:$G$1,0))</f>
        <v>Exc</v>
      </c>
      <c r="J144" t="str">
        <f>INDEX(products!$A$1:$G$49,MATCH($D144,products!$A$1:$A$49,0),MATCH(J$1,products!$A$1:$G$1,0))</f>
        <v>L</v>
      </c>
      <c r="K144" s="4">
        <f>INDEX(products!$A$1:$G$49,MATCH($D144,products!$A$1:$A$49,0),MATCH(K$1,products!$A$1:$G$1,0))</f>
        <v>2.5</v>
      </c>
      <c r="L144" s="5">
        <f>INDEX(products!$A$1:$G$49,MATCH($D144,products!$A$1:$A$49,0),MATCH(L$1,products!$A$1:$G$1,0))</f>
        <v>34.154999999999994</v>
      </c>
      <c r="M144" s="5">
        <f t="shared" si="7"/>
        <v>136.61999999999998</v>
      </c>
      <c r="N144" t="str">
        <f t="shared" si="9"/>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INDEX(products!$A$1:$G$49,MATCH($D145,products!$A$1:$A$49,0),MATCH(I$1,products!$A$1:$G$1,0))</f>
        <v>Lib</v>
      </c>
      <c r="J145" t="str">
        <f>INDEX(products!$A$1:$G$49,MATCH($D145,products!$A$1:$A$49,0),MATCH(J$1,products!$A$1:$G$1,0))</f>
        <v>M</v>
      </c>
      <c r="K145" s="4">
        <f>INDEX(products!$A$1:$G$49,MATCH($D145,products!$A$1:$A$49,0),MATCH(K$1,products!$A$1:$G$1,0))</f>
        <v>0.5</v>
      </c>
      <c r="L145" s="5">
        <f>INDEX(products!$A$1:$G$49,MATCH($D145,products!$A$1:$A$49,0),MATCH(L$1,products!$A$1:$G$1,0))</f>
        <v>8.73</v>
      </c>
      <c r="M145" s="5">
        <f t="shared" si="7"/>
        <v>17.46</v>
      </c>
      <c r="N145" t="str">
        <f t="shared" si="9"/>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INDEX(products!$A$1:$G$49,MATCH($D146,products!$A$1:$A$49,0),MATCH(I$1,products!$A$1:$G$1,0))</f>
        <v>Exc</v>
      </c>
      <c r="J146" t="str">
        <f>INDEX(products!$A$1:$G$49,MATCH($D146,products!$A$1:$A$49,0),MATCH(J$1,products!$A$1:$G$1,0))</f>
        <v>L</v>
      </c>
      <c r="K146" s="4">
        <f>INDEX(products!$A$1:$G$49,MATCH($D146,products!$A$1:$A$49,0),MATCH(K$1,products!$A$1:$G$1,0))</f>
        <v>2.5</v>
      </c>
      <c r="L146" s="5">
        <f>INDEX(products!$A$1:$G$49,MATCH($D146,products!$A$1:$A$49,0),MATCH(L$1,products!$A$1:$G$1,0))</f>
        <v>34.154999999999994</v>
      </c>
      <c r="M146" s="5">
        <f t="shared" si="7"/>
        <v>68.309999999999988</v>
      </c>
      <c r="N146" t="str">
        <f t="shared" si="9"/>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INDEX(products!$A$1:$G$49,MATCH($D147,products!$A$1:$A$49,0),MATCH(I$1,products!$A$1:$G$1,0))</f>
        <v>Lib</v>
      </c>
      <c r="J147" t="str">
        <f>INDEX(products!$A$1:$G$49,MATCH($D147,products!$A$1:$A$49,0),MATCH(J$1,products!$A$1:$G$1,0))</f>
        <v>M</v>
      </c>
      <c r="K147" s="4">
        <f>INDEX(products!$A$1:$G$49,MATCH($D147,products!$A$1:$A$49,0),MATCH(K$1,products!$A$1:$G$1,0))</f>
        <v>0.2</v>
      </c>
      <c r="L147" s="5">
        <f>INDEX(products!$A$1:$G$49,MATCH($D147,products!$A$1:$A$49,0),MATCH(L$1,products!$A$1:$G$1,0))</f>
        <v>4.3650000000000002</v>
      </c>
      <c r="M147" s="5">
        <f t="shared" si="7"/>
        <v>17.46</v>
      </c>
      <c r="N147" t="str">
        <f t="shared" si="9"/>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INDEX(products!$A$1:$G$49,MATCH($D148,products!$A$1:$A$49,0),MATCH(I$1,products!$A$1:$G$1,0))</f>
        <v>Lib</v>
      </c>
      <c r="J148" t="str">
        <f>INDEX(products!$A$1:$G$49,MATCH($D148,products!$A$1:$A$49,0),MATCH(J$1,products!$A$1:$G$1,0))</f>
        <v>M</v>
      </c>
      <c r="K148" s="4">
        <f>INDEX(products!$A$1:$G$49,MATCH($D148,products!$A$1:$A$49,0),MATCH(K$1,products!$A$1:$G$1,0))</f>
        <v>1</v>
      </c>
      <c r="L148" s="5">
        <f>INDEX(products!$A$1:$G$49,MATCH($D148,products!$A$1:$A$49,0),MATCH(L$1,products!$A$1:$G$1,0))</f>
        <v>14.55</v>
      </c>
      <c r="M148" s="5">
        <f t="shared" si="7"/>
        <v>43.650000000000006</v>
      </c>
      <c r="N148" t="str">
        <f t="shared" si="9"/>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INDEX(products!$A$1:$G$49,MATCH($D149,products!$A$1:$A$49,0),MATCH(I$1,products!$A$1:$G$1,0))</f>
        <v>Exc</v>
      </c>
      <c r="J149" t="str">
        <f>INDEX(products!$A$1:$G$49,MATCH($D149,products!$A$1:$A$49,0),MATCH(J$1,products!$A$1:$G$1,0))</f>
        <v>M</v>
      </c>
      <c r="K149" s="4">
        <f>INDEX(products!$A$1:$G$49,MATCH($D149,products!$A$1:$A$49,0),MATCH(K$1,products!$A$1:$G$1,0))</f>
        <v>1</v>
      </c>
      <c r="L149" s="5">
        <f>INDEX(products!$A$1:$G$49,MATCH($D149,products!$A$1:$A$49,0),MATCH(L$1,products!$A$1:$G$1,0))</f>
        <v>13.75</v>
      </c>
      <c r="M149" s="5">
        <f t="shared" si="7"/>
        <v>27.5</v>
      </c>
      <c r="N149" t="str">
        <f t="shared" si="9"/>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INDEX(products!$A$1:$G$49,MATCH($D150,products!$A$1:$A$49,0),MATCH(I$1,products!$A$1:$G$1,0))</f>
        <v>Exc</v>
      </c>
      <c r="J150" t="str">
        <f>INDEX(products!$A$1:$G$49,MATCH($D150,products!$A$1:$A$49,0),MATCH(J$1,products!$A$1:$G$1,0))</f>
        <v>D</v>
      </c>
      <c r="K150" s="4">
        <f>INDEX(products!$A$1:$G$49,MATCH($D150,products!$A$1:$A$49,0),MATCH(K$1,products!$A$1:$G$1,0))</f>
        <v>0.2</v>
      </c>
      <c r="L150" s="5">
        <f>INDEX(products!$A$1:$G$49,MATCH($D150,products!$A$1:$A$49,0),MATCH(L$1,products!$A$1:$G$1,0))</f>
        <v>3.645</v>
      </c>
      <c r="M150" s="5">
        <f t="shared" si="7"/>
        <v>18.225000000000001</v>
      </c>
      <c r="N150" t="str">
        <f t="shared" si="9"/>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f>
        <v>Gerard Pirdy</v>
      </c>
      <c r="G151" s="2" t="str">
        <f>IF(_xlfn.XLOOKUP(C151,customers!$A$1:$A$1001,customers!$C$1:$C$1001,,0)=0,"",_xlfn.XLOOKUP(C151,customers!$A$1:$A$1001,customers!$C$1:$C$1001,,0))</f>
        <v/>
      </c>
      <c r="H151" s="2" t="str">
        <f>_xlfn.XLOOKUP(C151,customers!$A$1:$A$1001,customers!$G$1:$G$1001,,0)</f>
        <v>United States</v>
      </c>
      <c r="I151" t="str">
        <f>INDEX(products!$A$1:$G$49,MATCH($D151,products!$A$1:$A$49,0),MATCH(I$1,products!$A$1:$G$1,0))</f>
        <v>Ara</v>
      </c>
      <c r="J151" t="str">
        <f>INDEX(products!$A$1:$G$49,MATCH($D151,products!$A$1:$A$49,0),MATCH(J$1,products!$A$1:$G$1,0))</f>
        <v>M</v>
      </c>
      <c r="K151" s="4">
        <f>INDEX(products!$A$1:$G$49,MATCH($D151,products!$A$1:$A$49,0),MATCH(K$1,products!$A$1:$G$1,0))</f>
        <v>2.5</v>
      </c>
      <c r="L151" s="5">
        <f>INDEX(products!$A$1:$G$49,MATCH($D151,products!$A$1:$A$49,0),MATCH(L$1,products!$A$1:$G$1,0))</f>
        <v>25.874999999999996</v>
      </c>
      <c r="M151" s="5">
        <f t="shared" si="7"/>
        <v>51.749999999999993</v>
      </c>
      <c r="N151" t="str">
        <f t="shared" si="9"/>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INDEX(products!$A$1:$G$49,MATCH($D152,products!$A$1:$A$49,0),MATCH(I$1,products!$A$1:$G$1,0))</f>
        <v>Lib</v>
      </c>
      <c r="J152" t="str">
        <f>INDEX(products!$A$1:$G$49,MATCH($D152,products!$A$1:$A$49,0),MATCH(J$1,products!$A$1:$G$1,0))</f>
        <v>D</v>
      </c>
      <c r="K152" s="4">
        <f>INDEX(products!$A$1:$G$49,MATCH($D152,products!$A$1:$A$49,0),MATCH(K$1,products!$A$1:$G$1,0))</f>
        <v>1</v>
      </c>
      <c r="L152" s="5">
        <f>INDEX(products!$A$1:$G$49,MATCH($D152,products!$A$1:$A$49,0),MATCH(L$1,products!$A$1:$G$1,0))</f>
        <v>12.95</v>
      </c>
      <c r="M152" s="5">
        <f t="shared" si="7"/>
        <v>12.95</v>
      </c>
      <c r="N152" t="str">
        <f t="shared" si="9"/>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f>
        <v>Quinton Fouracres</v>
      </c>
      <c r="G153" s="2" t="str">
        <f>IF(_xlfn.XLOOKUP(C153,customers!$A$1:$A$1001,customers!$C$1:$C$1001,,0)=0,"",_xlfn.XLOOKUP(C153,customers!$A$1:$A$1001,customers!$C$1:$C$1001,,0))</f>
        <v/>
      </c>
      <c r="H153" s="2" t="str">
        <f>_xlfn.XLOOKUP(C153,customers!$A$1:$A$1001,customers!$G$1:$G$1001,,0)</f>
        <v>United States</v>
      </c>
      <c r="I153" t="str">
        <f>INDEX(products!$A$1:$G$49,MATCH($D153,products!$A$1:$A$49,0),MATCH(I$1,products!$A$1:$G$1,0))</f>
        <v>Ara</v>
      </c>
      <c r="J153" t="str">
        <f>INDEX(products!$A$1:$G$49,MATCH($D153,products!$A$1:$A$49,0),MATCH(J$1,products!$A$1:$G$1,0))</f>
        <v>M</v>
      </c>
      <c r="K153" s="4">
        <f>INDEX(products!$A$1:$G$49,MATCH($D153,products!$A$1:$A$49,0),MATCH(K$1,products!$A$1:$G$1,0))</f>
        <v>1</v>
      </c>
      <c r="L153" s="5">
        <f>INDEX(products!$A$1:$G$49,MATCH($D153,products!$A$1:$A$49,0),MATCH(L$1,products!$A$1:$G$1,0))</f>
        <v>11.25</v>
      </c>
      <c r="M153" s="5">
        <f t="shared" si="7"/>
        <v>33.75</v>
      </c>
      <c r="N153" t="str">
        <f t="shared" si="9"/>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INDEX(products!$A$1:$G$49,MATCH($D154,products!$A$1:$A$49,0),MATCH(I$1,products!$A$1:$G$1,0))</f>
        <v>Rob</v>
      </c>
      <c r="J154" t="str">
        <f>INDEX(products!$A$1:$G$49,MATCH($D154,products!$A$1:$A$49,0),MATCH(J$1,products!$A$1:$G$1,0))</f>
        <v>M</v>
      </c>
      <c r="K154" s="4">
        <f>INDEX(products!$A$1:$G$49,MATCH($D154,products!$A$1:$A$49,0),MATCH(K$1,products!$A$1:$G$1,0))</f>
        <v>2.5</v>
      </c>
      <c r="L154" s="5">
        <f>INDEX(products!$A$1:$G$49,MATCH($D154,products!$A$1:$A$49,0),MATCH(L$1,products!$A$1:$G$1,0))</f>
        <v>22.884999999999998</v>
      </c>
      <c r="M154" s="5">
        <f t="shared" si="7"/>
        <v>68.655000000000001</v>
      </c>
      <c r="N154" t="str">
        <f t="shared" si="9"/>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f>
        <v>Hetti Penson</v>
      </c>
      <c r="G155" s="2" t="str">
        <f>IF(_xlfn.XLOOKUP(C155,customers!$A$1:$A$1001,customers!$C$1:$C$1001,,0)=0,"",_xlfn.XLOOKUP(C155,customers!$A$1:$A$1001,customers!$C$1:$C$1001,,0))</f>
        <v/>
      </c>
      <c r="H155" s="2" t="str">
        <f>_xlfn.XLOOKUP(C155,customers!$A$1:$A$1001,customers!$G$1:$G$1001,,0)</f>
        <v>United States</v>
      </c>
      <c r="I155" t="str">
        <f>INDEX(products!$A$1:$G$49,MATCH($D155,products!$A$1:$A$49,0),MATCH(I$1,products!$A$1:$G$1,0))</f>
        <v>Rob</v>
      </c>
      <c r="J155" t="str">
        <f>INDEX(products!$A$1:$G$49,MATCH($D155,products!$A$1:$A$49,0),MATCH(J$1,products!$A$1:$G$1,0))</f>
        <v>D</v>
      </c>
      <c r="K155" s="4">
        <f>INDEX(products!$A$1:$G$49,MATCH($D155,products!$A$1:$A$49,0),MATCH(K$1,products!$A$1:$G$1,0))</f>
        <v>0.2</v>
      </c>
      <c r="L155" s="5">
        <f>INDEX(products!$A$1:$G$49,MATCH($D155,products!$A$1:$A$49,0),MATCH(L$1,products!$A$1:$G$1,0))</f>
        <v>2.6849999999999996</v>
      </c>
      <c r="M155" s="5">
        <f t="shared" si="7"/>
        <v>2.6849999999999996</v>
      </c>
      <c r="N155" t="str">
        <f t="shared" si="9"/>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INDEX(products!$A$1:$G$49,MATCH($D156,products!$A$1:$A$49,0),MATCH(I$1,products!$A$1:$G$1,0))</f>
        <v>Ara</v>
      </c>
      <c r="J156" t="str">
        <f>INDEX(products!$A$1:$G$49,MATCH($D156,products!$A$1:$A$49,0),MATCH(J$1,products!$A$1:$G$1,0))</f>
        <v>D</v>
      </c>
      <c r="K156" s="4">
        <f>INDEX(products!$A$1:$G$49,MATCH($D156,products!$A$1:$A$49,0),MATCH(K$1,products!$A$1:$G$1,0))</f>
        <v>2.5</v>
      </c>
      <c r="L156" s="5">
        <f>INDEX(products!$A$1:$G$49,MATCH($D156,products!$A$1:$A$49,0),MATCH(L$1,products!$A$1:$G$1,0))</f>
        <v>22.884999999999998</v>
      </c>
      <c r="M156" s="5">
        <f t="shared" si="7"/>
        <v>114.42499999999998</v>
      </c>
      <c r="N156" t="str">
        <f t="shared" si="9"/>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INDEX(products!$A$1:$G$49,MATCH($D157,products!$A$1:$A$49,0),MATCH(I$1,products!$A$1:$G$1,0))</f>
        <v>Ara</v>
      </c>
      <c r="J157" t="str">
        <f>INDEX(products!$A$1:$G$49,MATCH($D157,products!$A$1:$A$49,0),MATCH(J$1,products!$A$1:$G$1,0))</f>
        <v>M</v>
      </c>
      <c r="K157" s="4">
        <f>INDEX(products!$A$1:$G$49,MATCH($D157,products!$A$1:$A$49,0),MATCH(K$1,products!$A$1:$G$1,0))</f>
        <v>2.5</v>
      </c>
      <c r="L157" s="5">
        <f>INDEX(products!$A$1:$G$49,MATCH($D157,products!$A$1:$A$49,0),MATCH(L$1,products!$A$1:$G$1,0))</f>
        <v>25.874999999999996</v>
      </c>
      <c r="M157" s="5">
        <f t="shared" si="7"/>
        <v>155.24999999999997</v>
      </c>
      <c r="N157" t="str">
        <f t="shared" si="9"/>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INDEX(products!$A$1:$G$49,MATCH($D158,products!$A$1:$A$49,0),MATCH(I$1,products!$A$1:$G$1,0))</f>
        <v>Ara</v>
      </c>
      <c r="J158" t="str">
        <f>INDEX(products!$A$1:$G$49,MATCH($D158,products!$A$1:$A$49,0),MATCH(J$1,products!$A$1:$G$1,0))</f>
        <v>M</v>
      </c>
      <c r="K158" s="4">
        <f>INDEX(products!$A$1:$G$49,MATCH($D158,products!$A$1:$A$49,0),MATCH(K$1,products!$A$1:$G$1,0))</f>
        <v>2.5</v>
      </c>
      <c r="L158" s="5">
        <f>INDEX(products!$A$1:$G$49,MATCH($D158,products!$A$1:$A$49,0),MATCH(L$1,products!$A$1:$G$1,0))</f>
        <v>25.874999999999996</v>
      </c>
      <c r="M158" s="5">
        <f t="shared" si="7"/>
        <v>77.624999999999986</v>
      </c>
      <c r="N158" t="str">
        <f t="shared" si="9"/>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f>
        <v>Paulo Yea</v>
      </c>
      <c r="G159" s="2" t="str">
        <f>IF(_xlfn.XLOOKUP(C159,customers!$A$1:$A$1001,customers!$C$1:$C$1001,,0)=0,"",_xlfn.XLOOKUP(C159,customers!$A$1:$A$1001,customers!$C$1:$C$1001,,0))</f>
        <v>pyea4d@aol.com</v>
      </c>
      <c r="H159" s="2" t="str">
        <f>_xlfn.XLOOKUP(C159,customers!$A$1:$A$1001,customers!$G$1:$G$1001,,0)</f>
        <v>Ireland</v>
      </c>
      <c r="I159" t="str">
        <f>INDEX(products!$A$1:$G$49,MATCH($D159,products!$A$1:$A$49,0),MATCH(I$1,products!$A$1:$G$1,0))</f>
        <v>Rob</v>
      </c>
      <c r="J159" t="str">
        <f>INDEX(products!$A$1:$G$49,MATCH($D159,products!$A$1:$A$49,0),MATCH(J$1,products!$A$1:$G$1,0))</f>
        <v>D</v>
      </c>
      <c r="K159" s="4">
        <f>INDEX(products!$A$1:$G$49,MATCH($D159,products!$A$1:$A$49,0),MATCH(K$1,products!$A$1:$G$1,0))</f>
        <v>2.5</v>
      </c>
      <c r="L159" s="5">
        <f>INDEX(products!$A$1:$G$49,MATCH($D159,products!$A$1:$A$49,0),MATCH(L$1,products!$A$1:$G$1,0))</f>
        <v>20.584999999999997</v>
      </c>
      <c r="M159" s="5">
        <f t="shared" si="7"/>
        <v>61.754999999999995</v>
      </c>
      <c r="N159" t="str">
        <f t="shared" si="9"/>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f>
        <v>Say Risborough</v>
      </c>
      <c r="G160" s="2" t="str">
        <f>IF(_xlfn.XLOOKUP(C160,customers!$A$1:$A$1001,customers!$C$1:$C$1001,,0)=0,"",_xlfn.XLOOKUP(C160,customers!$A$1:$A$1001,customers!$C$1:$C$1001,,0))</f>
        <v/>
      </c>
      <c r="H160" s="2" t="str">
        <f>_xlfn.XLOOKUP(C160,customers!$A$1:$A$1001,customers!$G$1:$G$1001,,0)</f>
        <v>United States</v>
      </c>
      <c r="I160" t="str">
        <f>INDEX(products!$A$1:$G$49,MATCH($D160,products!$A$1:$A$49,0),MATCH(I$1,products!$A$1:$G$1,0))</f>
        <v>Rob</v>
      </c>
      <c r="J160" t="str">
        <f>INDEX(products!$A$1:$G$49,MATCH($D160,products!$A$1:$A$49,0),MATCH(J$1,products!$A$1:$G$1,0))</f>
        <v>D</v>
      </c>
      <c r="K160" s="4">
        <f>INDEX(products!$A$1:$G$49,MATCH($D160,products!$A$1:$A$49,0),MATCH(K$1,products!$A$1:$G$1,0))</f>
        <v>2.5</v>
      </c>
      <c r="L160" s="5">
        <f>INDEX(products!$A$1:$G$49,MATCH($D160,products!$A$1:$A$49,0),MATCH(L$1,products!$A$1:$G$1,0))</f>
        <v>20.584999999999997</v>
      </c>
      <c r="M160" s="5">
        <f t="shared" si="7"/>
        <v>123.50999999999999</v>
      </c>
      <c r="N160" t="str">
        <f t="shared" si="9"/>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f>
        <v>Alexa Sizey</v>
      </c>
      <c r="G161" s="2" t="str">
        <f>IF(_xlfn.XLOOKUP(C161,customers!$A$1:$A$1001,customers!$C$1:$C$1001,,0)=0,"",_xlfn.XLOOKUP(C161,customers!$A$1:$A$1001,customers!$C$1:$C$1001,,0))</f>
        <v/>
      </c>
      <c r="H161" s="2" t="str">
        <f>_xlfn.XLOOKUP(C161,customers!$A$1:$A$1001,customers!$G$1:$G$1001,,0)</f>
        <v>United States</v>
      </c>
      <c r="I161" t="str">
        <f>INDEX(products!$A$1:$G$49,MATCH($D161,products!$A$1:$A$49,0),MATCH(I$1,products!$A$1:$G$1,0))</f>
        <v>Lib</v>
      </c>
      <c r="J161" t="str">
        <f>INDEX(products!$A$1:$G$49,MATCH($D161,products!$A$1:$A$49,0),MATCH(J$1,products!$A$1:$G$1,0))</f>
        <v>L</v>
      </c>
      <c r="K161" s="4">
        <f>INDEX(products!$A$1:$G$49,MATCH($D161,products!$A$1:$A$49,0),MATCH(K$1,products!$A$1:$G$1,0))</f>
        <v>2.5</v>
      </c>
      <c r="L161" s="5">
        <f>INDEX(products!$A$1:$G$49,MATCH($D161,products!$A$1:$A$49,0),MATCH(L$1,products!$A$1:$G$1,0))</f>
        <v>36.454999999999998</v>
      </c>
      <c r="M161" s="5">
        <f t="shared" si="7"/>
        <v>218.73</v>
      </c>
      <c r="N161" t="str">
        <f t="shared" si="9"/>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INDEX(products!$A$1:$G$49,MATCH($D162,products!$A$1:$A$49,0),MATCH(I$1,products!$A$1:$G$1,0))</f>
        <v>Exc</v>
      </c>
      <c r="J162" t="str">
        <f>INDEX(products!$A$1:$G$49,MATCH($D162,products!$A$1:$A$49,0),MATCH(J$1,products!$A$1:$G$1,0))</f>
        <v>M</v>
      </c>
      <c r="K162" s="4">
        <f>INDEX(products!$A$1:$G$49,MATCH($D162,products!$A$1:$A$49,0),MATCH(K$1,products!$A$1:$G$1,0))</f>
        <v>0.5</v>
      </c>
      <c r="L162" s="5">
        <f>INDEX(products!$A$1:$G$49,MATCH($D162,products!$A$1:$A$49,0),MATCH(L$1,products!$A$1:$G$1,0))</f>
        <v>8.25</v>
      </c>
      <c r="M162" s="5">
        <f t="shared" si="7"/>
        <v>33</v>
      </c>
      <c r="N162" t="str">
        <f t="shared" si="9"/>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INDEX(products!$A$1:$G$49,MATCH($D163,products!$A$1:$A$49,0),MATCH(I$1,products!$A$1:$G$1,0))</f>
        <v>Ara</v>
      </c>
      <c r="J163" t="str">
        <f>INDEX(products!$A$1:$G$49,MATCH($D163,products!$A$1:$A$49,0),MATCH(J$1,products!$A$1:$G$1,0))</f>
        <v>L</v>
      </c>
      <c r="K163" s="4">
        <f>INDEX(products!$A$1:$G$49,MATCH($D163,products!$A$1:$A$49,0),MATCH(K$1,products!$A$1:$G$1,0))</f>
        <v>0.5</v>
      </c>
      <c r="L163" s="5">
        <f>INDEX(products!$A$1:$G$49,MATCH($D163,products!$A$1:$A$49,0),MATCH(L$1,products!$A$1:$G$1,0))</f>
        <v>7.77</v>
      </c>
      <c r="M163" s="5">
        <f t="shared" si="7"/>
        <v>23.31</v>
      </c>
      <c r="N163" t="str">
        <f t="shared" si="9"/>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INDEX(products!$A$1:$G$49,MATCH($D164,products!$A$1:$A$49,0),MATCH(I$1,products!$A$1:$G$1,0))</f>
        <v>Exc</v>
      </c>
      <c r="J164" t="str">
        <f>INDEX(products!$A$1:$G$49,MATCH($D164,products!$A$1:$A$49,0),MATCH(J$1,products!$A$1:$G$1,0))</f>
        <v>D</v>
      </c>
      <c r="K164" s="4">
        <f>INDEX(products!$A$1:$G$49,MATCH($D164,products!$A$1:$A$49,0),MATCH(K$1,products!$A$1:$G$1,0))</f>
        <v>0.5</v>
      </c>
      <c r="L164" s="5">
        <f>INDEX(products!$A$1:$G$49,MATCH($D164,products!$A$1:$A$49,0),MATCH(L$1,products!$A$1:$G$1,0))</f>
        <v>7.29</v>
      </c>
      <c r="M164" s="5">
        <f t="shared" si="7"/>
        <v>21.87</v>
      </c>
      <c r="N164" t="str">
        <f t="shared" si="9"/>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INDEX(products!$A$1:$G$49,MATCH($D165,products!$A$1:$A$49,0),MATCH(I$1,products!$A$1:$G$1,0))</f>
        <v>Rob</v>
      </c>
      <c r="J165" t="str">
        <f>INDEX(products!$A$1:$G$49,MATCH($D165,products!$A$1:$A$49,0),MATCH(J$1,products!$A$1:$G$1,0))</f>
        <v>D</v>
      </c>
      <c r="K165" s="4">
        <f>INDEX(products!$A$1:$G$49,MATCH($D165,products!$A$1:$A$49,0),MATCH(K$1,products!$A$1:$G$1,0))</f>
        <v>0.2</v>
      </c>
      <c r="L165" s="5">
        <f>INDEX(products!$A$1:$G$49,MATCH($D165,products!$A$1:$A$49,0),MATCH(L$1,products!$A$1:$G$1,0))</f>
        <v>2.6849999999999996</v>
      </c>
      <c r="M165" s="5">
        <f t="shared" si="7"/>
        <v>16.11</v>
      </c>
      <c r="N165" t="str">
        <f t="shared" si="9"/>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INDEX(products!$A$1:$G$49,MATCH($D166,products!$A$1:$A$49,0),MATCH(I$1,products!$A$1:$G$1,0))</f>
        <v>Exc</v>
      </c>
      <c r="J166" t="str">
        <f>INDEX(products!$A$1:$G$49,MATCH($D166,products!$A$1:$A$49,0),MATCH(J$1,products!$A$1:$G$1,0))</f>
        <v>D</v>
      </c>
      <c r="K166" s="4">
        <f>INDEX(products!$A$1:$G$49,MATCH($D166,products!$A$1:$A$49,0),MATCH(K$1,products!$A$1:$G$1,0))</f>
        <v>0.5</v>
      </c>
      <c r="L166" s="5">
        <f>INDEX(products!$A$1:$G$49,MATCH($D166,products!$A$1:$A$49,0),MATCH(L$1,products!$A$1:$G$1,0))</f>
        <v>7.29</v>
      </c>
      <c r="M166" s="5">
        <f t="shared" si="7"/>
        <v>29.16</v>
      </c>
      <c r="N166" t="str">
        <f t="shared" si="9"/>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f>
        <v>Mina Elstone</v>
      </c>
      <c r="G167" s="2" t="str">
        <f>IF(_xlfn.XLOOKUP(C167,customers!$A$1:$A$1001,customers!$C$1:$C$1001,,0)=0,"",_xlfn.XLOOKUP(C167,customers!$A$1:$A$1001,customers!$C$1:$C$1001,,0))</f>
        <v/>
      </c>
      <c r="H167" s="2" t="str">
        <f>_xlfn.XLOOKUP(C167,customers!$A$1:$A$1001,customers!$G$1:$G$1001,,0)</f>
        <v>United States</v>
      </c>
      <c r="I167" t="str">
        <f>INDEX(products!$A$1:$G$49,MATCH($D167,products!$A$1:$A$49,0),MATCH(I$1,products!$A$1:$G$1,0))</f>
        <v>Rob</v>
      </c>
      <c r="J167" t="str">
        <f>INDEX(products!$A$1:$G$49,MATCH($D167,products!$A$1:$A$49,0),MATCH(J$1,products!$A$1:$G$1,0))</f>
        <v>D</v>
      </c>
      <c r="K167" s="4">
        <f>INDEX(products!$A$1:$G$49,MATCH($D167,products!$A$1:$A$49,0),MATCH(K$1,products!$A$1:$G$1,0))</f>
        <v>1</v>
      </c>
      <c r="L167" s="5">
        <f>INDEX(products!$A$1:$G$49,MATCH($D167,products!$A$1:$A$49,0),MATCH(L$1,products!$A$1:$G$1,0))</f>
        <v>8.9499999999999993</v>
      </c>
      <c r="M167" s="5">
        <f t="shared" si="7"/>
        <v>53.699999999999996</v>
      </c>
      <c r="N167" t="str">
        <f t="shared" si="9"/>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f>
        <v>Sherman Mewrcik</v>
      </c>
      <c r="G168" s="2" t="str">
        <f>IF(_xlfn.XLOOKUP(C168,customers!$A$1:$A$1001,customers!$C$1:$C$1001,,0)=0,"",_xlfn.XLOOKUP(C168,customers!$A$1:$A$1001,customers!$C$1:$C$1001,,0))</f>
        <v/>
      </c>
      <c r="H168" s="2" t="str">
        <f>_xlfn.XLOOKUP(C168,customers!$A$1:$A$1001,customers!$G$1:$G$1001,,0)</f>
        <v>United States</v>
      </c>
      <c r="I168" t="str">
        <f>INDEX(products!$A$1:$G$49,MATCH($D168,products!$A$1:$A$49,0),MATCH(I$1,products!$A$1:$G$1,0))</f>
        <v>Rob</v>
      </c>
      <c r="J168" t="str">
        <f>INDEX(products!$A$1:$G$49,MATCH($D168,products!$A$1:$A$49,0),MATCH(J$1,products!$A$1:$G$1,0))</f>
        <v>D</v>
      </c>
      <c r="K168" s="4">
        <f>INDEX(products!$A$1:$G$49,MATCH($D168,products!$A$1:$A$49,0),MATCH(K$1,products!$A$1:$G$1,0))</f>
        <v>0.5</v>
      </c>
      <c r="L168" s="5">
        <f>INDEX(products!$A$1:$G$49,MATCH($D168,products!$A$1:$A$49,0),MATCH(L$1,products!$A$1:$G$1,0))</f>
        <v>5.3699999999999992</v>
      </c>
      <c r="M168" s="5">
        <f t="shared" si="7"/>
        <v>26.849999999999994</v>
      </c>
      <c r="N168" t="str">
        <f t="shared" si="9"/>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INDEX(products!$A$1:$G$49,MATCH($D169,products!$A$1:$A$49,0),MATCH(I$1,products!$A$1:$G$1,0))</f>
        <v>Exc</v>
      </c>
      <c r="J169" t="str">
        <f>INDEX(products!$A$1:$G$49,MATCH($D169,products!$A$1:$A$49,0),MATCH(J$1,products!$A$1:$G$1,0))</f>
        <v>M</v>
      </c>
      <c r="K169" s="4">
        <f>INDEX(products!$A$1:$G$49,MATCH($D169,products!$A$1:$A$49,0),MATCH(K$1,products!$A$1:$G$1,0))</f>
        <v>0.5</v>
      </c>
      <c r="L169" s="5">
        <f>INDEX(products!$A$1:$G$49,MATCH($D169,products!$A$1:$A$49,0),MATCH(L$1,products!$A$1:$G$1,0))</f>
        <v>8.25</v>
      </c>
      <c r="M169" s="5">
        <f t="shared" si="7"/>
        <v>41.25</v>
      </c>
      <c r="N169" t="str">
        <f t="shared" si="9"/>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f>
        <v>Stanislaus Valsler</v>
      </c>
      <c r="G170" s="2" t="str">
        <f>IF(_xlfn.XLOOKUP(C170,customers!$A$1:$A$1001,customers!$C$1:$C$1001,,0)=0,"",_xlfn.XLOOKUP(C170,customers!$A$1:$A$1001,customers!$C$1:$C$1001,,0))</f>
        <v/>
      </c>
      <c r="H170" s="2" t="str">
        <f>_xlfn.XLOOKUP(C170,customers!$A$1:$A$1001,customers!$G$1:$G$1001,,0)</f>
        <v>Ireland</v>
      </c>
      <c r="I170" t="str">
        <f>INDEX(products!$A$1:$G$49,MATCH($D170,products!$A$1:$A$49,0),MATCH(I$1,products!$A$1:$G$1,0))</f>
        <v>Ara</v>
      </c>
      <c r="J170" t="str">
        <f>INDEX(products!$A$1:$G$49,MATCH($D170,products!$A$1:$A$49,0),MATCH(J$1,products!$A$1:$G$1,0))</f>
        <v>M</v>
      </c>
      <c r="K170" s="4">
        <f>INDEX(products!$A$1:$G$49,MATCH($D170,products!$A$1:$A$49,0),MATCH(K$1,products!$A$1:$G$1,0))</f>
        <v>0.5</v>
      </c>
      <c r="L170" s="5">
        <f>INDEX(products!$A$1:$G$49,MATCH($D170,products!$A$1:$A$49,0),MATCH(L$1,products!$A$1:$G$1,0))</f>
        <v>6.75</v>
      </c>
      <c r="M170" s="5">
        <f t="shared" si="7"/>
        <v>40.5</v>
      </c>
      <c r="N170" t="str">
        <f t="shared" si="9"/>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INDEX(products!$A$1:$G$49,MATCH($D171,products!$A$1:$A$49,0),MATCH(I$1,products!$A$1:$G$1,0))</f>
        <v>Rob</v>
      </c>
      <c r="J171" t="str">
        <f>INDEX(products!$A$1:$G$49,MATCH($D171,products!$A$1:$A$49,0),MATCH(J$1,products!$A$1:$G$1,0))</f>
        <v>D</v>
      </c>
      <c r="K171" s="4">
        <f>INDEX(products!$A$1:$G$49,MATCH($D171,products!$A$1:$A$49,0),MATCH(K$1,products!$A$1:$G$1,0))</f>
        <v>1</v>
      </c>
      <c r="L171" s="5">
        <f>INDEX(products!$A$1:$G$49,MATCH($D171,products!$A$1:$A$49,0),MATCH(L$1,products!$A$1:$G$1,0))</f>
        <v>8.9499999999999993</v>
      </c>
      <c r="M171" s="5">
        <f t="shared" si="7"/>
        <v>17.899999999999999</v>
      </c>
      <c r="N171" t="str">
        <f t="shared" si="9"/>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INDEX(products!$A$1:$G$49,MATCH($D172,products!$A$1:$A$49,0),MATCH(I$1,products!$A$1:$G$1,0))</f>
        <v>Exc</v>
      </c>
      <c r="J172" t="str">
        <f>INDEX(products!$A$1:$G$49,MATCH($D172,products!$A$1:$A$49,0),MATCH(J$1,products!$A$1:$G$1,0))</f>
        <v>L</v>
      </c>
      <c r="K172" s="4">
        <f>INDEX(products!$A$1:$G$49,MATCH($D172,products!$A$1:$A$49,0),MATCH(K$1,products!$A$1:$G$1,0))</f>
        <v>2.5</v>
      </c>
      <c r="L172" s="5">
        <f>INDEX(products!$A$1:$G$49,MATCH($D172,products!$A$1:$A$49,0),MATCH(L$1,products!$A$1:$G$1,0))</f>
        <v>34.154999999999994</v>
      </c>
      <c r="M172" s="5">
        <f t="shared" si="7"/>
        <v>68.309999999999988</v>
      </c>
      <c r="N172" t="str">
        <f t="shared" si="9"/>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INDEX(products!$A$1:$G$49,MATCH($D173,products!$A$1:$A$49,0),MATCH(I$1,products!$A$1:$G$1,0))</f>
        <v>Exc</v>
      </c>
      <c r="J173" t="str">
        <f>INDEX(products!$A$1:$G$49,MATCH($D173,products!$A$1:$A$49,0),MATCH(J$1,products!$A$1:$G$1,0))</f>
        <v>M</v>
      </c>
      <c r="K173" s="4">
        <f>INDEX(products!$A$1:$G$49,MATCH($D173,products!$A$1:$A$49,0),MATCH(K$1,products!$A$1:$G$1,0))</f>
        <v>2.5</v>
      </c>
      <c r="L173" s="5">
        <f>INDEX(products!$A$1:$G$49,MATCH($D173,products!$A$1:$A$49,0),MATCH(L$1,products!$A$1:$G$1,0))</f>
        <v>31.624999999999996</v>
      </c>
      <c r="M173" s="5">
        <f t="shared" si="7"/>
        <v>63.249999999999993</v>
      </c>
      <c r="N173" t="str">
        <f t="shared" si="9"/>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INDEX(products!$A$1:$G$49,MATCH($D174,products!$A$1:$A$49,0),MATCH(I$1,products!$A$1:$G$1,0))</f>
        <v>Exc</v>
      </c>
      <c r="J174" t="str">
        <f>INDEX(products!$A$1:$G$49,MATCH($D174,products!$A$1:$A$49,0),MATCH(J$1,products!$A$1:$G$1,0))</f>
        <v>D</v>
      </c>
      <c r="K174" s="4">
        <f>INDEX(products!$A$1:$G$49,MATCH($D174,products!$A$1:$A$49,0),MATCH(K$1,products!$A$1:$G$1,0))</f>
        <v>0.5</v>
      </c>
      <c r="L174" s="5">
        <f>INDEX(products!$A$1:$G$49,MATCH($D174,products!$A$1:$A$49,0),MATCH(L$1,products!$A$1:$G$1,0))</f>
        <v>7.29</v>
      </c>
      <c r="M174" s="5">
        <f t="shared" si="7"/>
        <v>21.87</v>
      </c>
      <c r="N174" t="str">
        <f t="shared" si="9"/>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INDEX(products!$A$1:$G$49,MATCH($D175,products!$A$1:$A$49,0),MATCH(I$1,products!$A$1:$G$1,0))</f>
        <v>Rob</v>
      </c>
      <c r="J175" t="str">
        <f>INDEX(products!$A$1:$G$49,MATCH($D175,products!$A$1:$A$49,0),MATCH(J$1,products!$A$1:$G$1,0))</f>
        <v>M</v>
      </c>
      <c r="K175" s="4">
        <f>INDEX(products!$A$1:$G$49,MATCH($D175,products!$A$1:$A$49,0),MATCH(K$1,products!$A$1:$G$1,0))</f>
        <v>2.5</v>
      </c>
      <c r="L175" s="5">
        <f>INDEX(products!$A$1:$G$49,MATCH($D175,products!$A$1:$A$49,0),MATCH(L$1,products!$A$1:$G$1,0))</f>
        <v>22.884999999999998</v>
      </c>
      <c r="M175" s="5">
        <f t="shared" si="7"/>
        <v>91.539999999999992</v>
      </c>
      <c r="N175" t="str">
        <f t="shared" si="9"/>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f>
        <v>Elysee Sketch</v>
      </c>
      <c r="G176" s="2" t="str">
        <f>IF(_xlfn.XLOOKUP(C176,customers!$A$1:$A$1001,customers!$C$1:$C$1001,,0)=0,"",_xlfn.XLOOKUP(C176,customers!$A$1:$A$1001,customers!$C$1:$C$1001,,0))</f>
        <v/>
      </c>
      <c r="H176" s="2" t="str">
        <f>_xlfn.XLOOKUP(C176,customers!$A$1:$A$1001,customers!$G$1:$G$1001,,0)</f>
        <v>United States</v>
      </c>
      <c r="I176" t="str">
        <f>INDEX(products!$A$1:$G$49,MATCH($D176,products!$A$1:$A$49,0),MATCH(I$1,products!$A$1:$G$1,0))</f>
        <v>Exc</v>
      </c>
      <c r="J176" t="str">
        <f>INDEX(products!$A$1:$G$49,MATCH($D176,products!$A$1:$A$49,0),MATCH(J$1,products!$A$1:$G$1,0))</f>
        <v>L</v>
      </c>
      <c r="K176" s="4">
        <f>INDEX(products!$A$1:$G$49,MATCH($D176,products!$A$1:$A$49,0),MATCH(K$1,products!$A$1:$G$1,0))</f>
        <v>2.5</v>
      </c>
      <c r="L176" s="5">
        <f>INDEX(products!$A$1:$G$49,MATCH($D176,products!$A$1:$A$49,0),MATCH(L$1,products!$A$1:$G$1,0))</f>
        <v>34.154999999999994</v>
      </c>
      <c r="M176" s="5">
        <f t="shared" si="7"/>
        <v>204.92999999999995</v>
      </c>
      <c r="N176" t="str">
        <f t="shared" si="9"/>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INDEX(products!$A$1:$G$49,MATCH($D177,products!$A$1:$A$49,0),MATCH(I$1,products!$A$1:$G$1,0))</f>
        <v>Exc</v>
      </c>
      <c r="J177" t="str">
        <f>INDEX(products!$A$1:$G$49,MATCH($D177,products!$A$1:$A$49,0),MATCH(J$1,products!$A$1:$G$1,0))</f>
        <v>M</v>
      </c>
      <c r="K177" s="4">
        <f>INDEX(products!$A$1:$G$49,MATCH($D177,products!$A$1:$A$49,0),MATCH(K$1,products!$A$1:$G$1,0))</f>
        <v>2.5</v>
      </c>
      <c r="L177" s="5">
        <f>INDEX(products!$A$1:$G$49,MATCH($D177,products!$A$1:$A$49,0),MATCH(L$1,products!$A$1:$G$1,0))</f>
        <v>31.624999999999996</v>
      </c>
      <c r="M177" s="5">
        <f t="shared" si="7"/>
        <v>63.249999999999993</v>
      </c>
      <c r="N177" t="str">
        <f t="shared" si="9"/>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INDEX(products!$A$1:$G$49,MATCH($D178,products!$A$1:$A$49,0),MATCH(I$1,products!$A$1:$G$1,0))</f>
        <v>Exc</v>
      </c>
      <c r="J178" t="str">
        <f>INDEX(products!$A$1:$G$49,MATCH($D178,products!$A$1:$A$49,0),MATCH(J$1,products!$A$1:$G$1,0))</f>
        <v>L</v>
      </c>
      <c r="K178" s="4">
        <f>INDEX(products!$A$1:$G$49,MATCH($D178,products!$A$1:$A$49,0),MATCH(K$1,products!$A$1:$G$1,0))</f>
        <v>2.5</v>
      </c>
      <c r="L178" s="5">
        <f>INDEX(products!$A$1:$G$49,MATCH($D178,products!$A$1:$A$49,0),MATCH(L$1,products!$A$1:$G$1,0))</f>
        <v>34.154999999999994</v>
      </c>
      <c r="M178" s="5">
        <f t="shared" si="7"/>
        <v>34.154999999999994</v>
      </c>
      <c r="N178" t="str">
        <f t="shared" si="9"/>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INDEX(products!$A$1:$G$49,MATCH($D179,products!$A$1:$A$49,0),MATCH(I$1,products!$A$1:$G$1,0))</f>
        <v>Rob</v>
      </c>
      <c r="J179" t="str">
        <f>INDEX(products!$A$1:$G$49,MATCH($D179,products!$A$1:$A$49,0),MATCH(J$1,products!$A$1:$G$1,0))</f>
        <v>L</v>
      </c>
      <c r="K179" s="4">
        <f>INDEX(products!$A$1:$G$49,MATCH($D179,products!$A$1:$A$49,0),MATCH(K$1,products!$A$1:$G$1,0))</f>
        <v>2.5</v>
      </c>
      <c r="L179" s="5">
        <f>INDEX(products!$A$1:$G$49,MATCH($D179,products!$A$1:$A$49,0),MATCH(L$1,products!$A$1:$G$1,0))</f>
        <v>27.484999999999996</v>
      </c>
      <c r="M179" s="5">
        <f t="shared" si="7"/>
        <v>109.93999999999998</v>
      </c>
      <c r="N179" t="str">
        <f t="shared" si="9"/>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INDEX(products!$A$1:$G$49,MATCH($D180,products!$A$1:$A$49,0),MATCH(I$1,products!$A$1:$G$1,0))</f>
        <v>Ara</v>
      </c>
      <c r="J180" t="str">
        <f>INDEX(products!$A$1:$G$49,MATCH($D180,products!$A$1:$A$49,0),MATCH(J$1,products!$A$1:$G$1,0))</f>
        <v>L</v>
      </c>
      <c r="K180" s="4">
        <f>INDEX(products!$A$1:$G$49,MATCH($D180,products!$A$1:$A$49,0),MATCH(K$1,products!$A$1:$G$1,0))</f>
        <v>1</v>
      </c>
      <c r="L180" s="5">
        <f>INDEX(products!$A$1:$G$49,MATCH($D180,products!$A$1:$A$49,0),MATCH(L$1,products!$A$1:$G$1,0))</f>
        <v>12.95</v>
      </c>
      <c r="M180" s="5">
        <f t="shared" si="7"/>
        <v>25.9</v>
      </c>
      <c r="N180" t="str">
        <f t="shared" si="9"/>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f>
        <v>Tiffany Scardafield</v>
      </c>
      <c r="G181" s="2" t="str">
        <f>IF(_xlfn.XLOOKUP(C181,customers!$A$1:$A$1001,customers!$C$1:$C$1001,,0)=0,"",_xlfn.XLOOKUP(C181,customers!$A$1:$A$1001,customers!$C$1:$C$1001,,0))</f>
        <v/>
      </c>
      <c r="H181" s="2" t="str">
        <f>_xlfn.XLOOKUP(C181,customers!$A$1:$A$1001,customers!$G$1:$G$1001,,0)</f>
        <v>Ireland</v>
      </c>
      <c r="I181" t="str">
        <f>INDEX(products!$A$1:$G$49,MATCH($D181,products!$A$1:$A$49,0),MATCH(I$1,products!$A$1:$G$1,0))</f>
        <v>Ara</v>
      </c>
      <c r="J181" t="str">
        <f>INDEX(products!$A$1:$G$49,MATCH($D181,products!$A$1:$A$49,0),MATCH(J$1,products!$A$1:$G$1,0))</f>
        <v>D</v>
      </c>
      <c r="K181" s="4">
        <f>INDEX(products!$A$1:$G$49,MATCH($D181,products!$A$1:$A$49,0),MATCH(K$1,products!$A$1:$G$1,0))</f>
        <v>0.2</v>
      </c>
      <c r="L181" s="5">
        <f>INDEX(products!$A$1:$G$49,MATCH($D181,products!$A$1:$A$49,0),MATCH(L$1,products!$A$1:$G$1,0))</f>
        <v>2.9849999999999999</v>
      </c>
      <c r="M181" s="5">
        <f t="shared" si="7"/>
        <v>2.9849999999999999</v>
      </c>
      <c r="N181" t="str">
        <f t="shared" si="9"/>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INDEX(products!$A$1:$G$49,MATCH($D182,products!$A$1:$A$49,0),MATCH(I$1,products!$A$1:$G$1,0))</f>
        <v>Exc</v>
      </c>
      <c r="J182" t="str">
        <f>INDEX(products!$A$1:$G$49,MATCH($D182,products!$A$1:$A$49,0),MATCH(J$1,products!$A$1:$G$1,0))</f>
        <v>L</v>
      </c>
      <c r="K182" s="4">
        <f>INDEX(products!$A$1:$G$49,MATCH($D182,products!$A$1:$A$49,0),MATCH(K$1,products!$A$1:$G$1,0))</f>
        <v>0.2</v>
      </c>
      <c r="L182" s="5">
        <f>INDEX(products!$A$1:$G$49,MATCH($D182,products!$A$1:$A$49,0),MATCH(L$1,products!$A$1:$G$1,0))</f>
        <v>4.4550000000000001</v>
      </c>
      <c r="M182" s="5">
        <f t="shared" si="7"/>
        <v>22.274999999999999</v>
      </c>
      <c r="N182" t="str">
        <f t="shared" si="9"/>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INDEX(products!$A$1:$G$49,MATCH($D183,products!$A$1:$A$49,0),MATCH(I$1,products!$A$1:$G$1,0))</f>
        <v>Ara</v>
      </c>
      <c r="J183" t="str">
        <f>INDEX(products!$A$1:$G$49,MATCH($D183,products!$A$1:$A$49,0),MATCH(J$1,products!$A$1:$G$1,0))</f>
        <v>D</v>
      </c>
      <c r="K183" s="4">
        <f>INDEX(products!$A$1:$G$49,MATCH($D183,products!$A$1:$A$49,0),MATCH(K$1,products!$A$1:$G$1,0))</f>
        <v>0.5</v>
      </c>
      <c r="L183" s="5">
        <f>INDEX(products!$A$1:$G$49,MATCH($D183,products!$A$1:$A$49,0),MATCH(L$1,products!$A$1:$G$1,0))</f>
        <v>5.97</v>
      </c>
      <c r="M183" s="5">
        <f t="shared" si="7"/>
        <v>29.849999999999998</v>
      </c>
      <c r="N183" t="str">
        <f t="shared" si="9"/>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INDEX(products!$A$1:$G$49,MATCH($D184,products!$A$1:$A$49,0),MATCH(I$1,products!$A$1:$G$1,0))</f>
        <v>Rob</v>
      </c>
      <c r="J184" t="str">
        <f>INDEX(products!$A$1:$G$49,MATCH($D184,products!$A$1:$A$49,0),MATCH(J$1,products!$A$1:$G$1,0))</f>
        <v>D</v>
      </c>
      <c r="K184" s="4">
        <f>INDEX(products!$A$1:$G$49,MATCH($D184,products!$A$1:$A$49,0),MATCH(K$1,products!$A$1:$G$1,0))</f>
        <v>0.5</v>
      </c>
      <c r="L184" s="5">
        <f>INDEX(products!$A$1:$G$49,MATCH($D184,products!$A$1:$A$49,0),MATCH(L$1,products!$A$1:$G$1,0))</f>
        <v>5.3699999999999992</v>
      </c>
      <c r="M184" s="5">
        <f t="shared" si="7"/>
        <v>32.22</v>
      </c>
      <c r="N184" t="str">
        <f t="shared" si="9"/>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INDEX(products!$A$1:$G$49,MATCH($D185,products!$A$1:$A$49,0),MATCH(I$1,products!$A$1:$G$1,0))</f>
        <v>Exc</v>
      </c>
      <c r="J185" t="str">
        <f>INDEX(products!$A$1:$G$49,MATCH($D185,products!$A$1:$A$49,0),MATCH(J$1,products!$A$1:$G$1,0))</f>
        <v>M</v>
      </c>
      <c r="K185" s="4">
        <f>INDEX(products!$A$1:$G$49,MATCH($D185,products!$A$1:$A$49,0),MATCH(K$1,products!$A$1:$G$1,0))</f>
        <v>0.2</v>
      </c>
      <c r="L185" s="5">
        <f>INDEX(products!$A$1:$G$49,MATCH($D185,products!$A$1:$A$49,0),MATCH(L$1,products!$A$1:$G$1,0))</f>
        <v>4.125</v>
      </c>
      <c r="M185" s="5">
        <f t="shared" si="7"/>
        <v>8.25</v>
      </c>
      <c r="N185" t="str">
        <f t="shared" si="9"/>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INDEX(products!$A$1:$G$49,MATCH($D186,products!$A$1:$A$49,0),MATCH(I$1,products!$A$1:$G$1,0))</f>
        <v>Ara</v>
      </c>
      <c r="J186" t="str">
        <f>INDEX(products!$A$1:$G$49,MATCH($D186,products!$A$1:$A$49,0),MATCH(J$1,products!$A$1:$G$1,0))</f>
        <v>L</v>
      </c>
      <c r="K186" s="4">
        <f>INDEX(products!$A$1:$G$49,MATCH($D186,products!$A$1:$A$49,0),MATCH(K$1,products!$A$1:$G$1,0))</f>
        <v>0.5</v>
      </c>
      <c r="L186" s="5">
        <f>INDEX(products!$A$1:$G$49,MATCH($D186,products!$A$1:$A$49,0),MATCH(L$1,products!$A$1:$G$1,0))</f>
        <v>7.77</v>
      </c>
      <c r="M186" s="5">
        <f t="shared" si="7"/>
        <v>31.08</v>
      </c>
      <c r="N186" t="str">
        <f t="shared" si="9"/>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INDEX(products!$A$1:$G$49,MATCH($D187,products!$A$1:$A$49,0),MATCH(I$1,products!$A$1:$G$1,0))</f>
        <v>Exc</v>
      </c>
      <c r="J187" t="str">
        <f>INDEX(products!$A$1:$G$49,MATCH($D187,products!$A$1:$A$49,0),MATCH(J$1,products!$A$1:$G$1,0))</f>
        <v>D</v>
      </c>
      <c r="K187" s="4">
        <f>INDEX(products!$A$1:$G$49,MATCH($D187,products!$A$1:$A$49,0),MATCH(K$1,products!$A$1:$G$1,0))</f>
        <v>0.5</v>
      </c>
      <c r="L187" s="5">
        <f>INDEX(products!$A$1:$G$49,MATCH($D187,products!$A$1:$A$49,0),MATCH(L$1,products!$A$1:$G$1,0))</f>
        <v>7.29</v>
      </c>
      <c r="M187" s="5">
        <f t="shared" si="7"/>
        <v>36.450000000000003</v>
      </c>
      <c r="N187" t="str">
        <f t="shared" si="9"/>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INDEX(products!$A$1:$G$49,MATCH($D188,products!$A$1:$A$49,0),MATCH(I$1,products!$A$1:$G$1,0))</f>
        <v>Rob</v>
      </c>
      <c r="J188" t="str">
        <f>INDEX(products!$A$1:$G$49,MATCH($D188,products!$A$1:$A$49,0),MATCH(J$1,products!$A$1:$G$1,0))</f>
        <v>M</v>
      </c>
      <c r="K188" s="4">
        <f>INDEX(products!$A$1:$G$49,MATCH($D188,products!$A$1:$A$49,0),MATCH(K$1,products!$A$1:$G$1,0))</f>
        <v>2.5</v>
      </c>
      <c r="L188" s="5">
        <f>INDEX(products!$A$1:$G$49,MATCH($D188,products!$A$1:$A$49,0),MATCH(L$1,products!$A$1:$G$1,0))</f>
        <v>22.884999999999998</v>
      </c>
      <c r="M188" s="5">
        <f t="shared" si="7"/>
        <v>68.655000000000001</v>
      </c>
      <c r="N188" t="str">
        <f t="shared" si="9"/>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INDEX(products!$A$1:$G$49,MATCH($D189,products!$A$1:$A$49,0),MATCH(I$1,products!$A$1:$G$1,0))</f>
        <v>Lib</v>
      </c>
      <c r="J189" t="str">
        <f>INDEX(products!$A$1:$G$49,MATCH($D189,products!$A$1:$A$49,0),MATCH(J$1,products!$A$1:$G$1,0))</f>
        <v>M</v>
      </c>
      <c r="K189" s="4">
        <f>INDEX(products!$A$1:$G$49,MATCH($D189,products!$A$1:$A$49,0),MATCH(K$1,products!$A$1:$G$1,0))</f>
        <v>0.5</v>
      </c>
      <c r="L189" s="5">
        <f>INDEX(products!$A$1:$G$49,MATCH($D189,products!$A$1:$A$49,0),MATCH(L$1,products!$A$1:$G$1,0))</f>
        <v>8.73</v>
      </c>
      <c r="M189" s="5">
        <f t="shared" si="7"/>
        <v>43.650000000000006</v>
      </c>
      <c r="N189" t="str">
        <f t="shared" si="9"/>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INDEX(products!$A$1:$G$49,MATCH($D190,products!$A$1:$A$49,0),MATCH(I$1,products!$A$1:$G$1,0))</f>
        <v>Exc</v>
      </c>
      <c r="J190" t="str">
        <f>INDEX(products!$A$1:$G$49,MATCH($D190,products!$A$1:$A$49,0),MATCH(J$1,products!$A$1:$G$1,0))</f>
        <v>L</v>
      </c>
      <c r="K190" s="4">
        <f>INDEX(products!$A$1:$G$49,MATCH($D190,products!$A$1:$A$49,0),MATCH(K$1,products!$A$1:$G$1,0))</f>
        <v>0.2</v>
      </c>
      <c r="L190" s="5">
        <f>INDEX(products!$A$1:$G$49,MATCH($D190,products!$A$1:$A$49,0),MATCH(L$1,products!$A$1:$G$1,0))</f>
        <v>4.4550000000000001</v>
      </c>
      <c r="M190" s="5">
        <f t="shared" si="7"/>
        <v>4.4550000000000001</v>
      </c>
      <c r="N190" t="str">
        <f t="shared" si="9"/>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INDEX(products!$A$1:$G$49,MATCH($D191,products!$A$1:$A$49,0),MATCH(I$1,products!$A$1:$G$1,0))</f>
        <v>Lib</v>
      </c>
      <c r="J191" t="str">
        <f>INDEX(products!$A$1:$G$49,MATCH($D191,products!$A$1:$A$49,0),MATCH(J$1,products!$A$1:$G$1,0))</f>
        <v>M</v>
      </c>
      <c r="K191" s="4">
        <f>INDEX(products!$A$1:$G$49,MATCH($D191,products!$A$1:$A$49,0),MATCH(K$1,products!$A$1:$G$1,0))</f>
        <v>1</v>
      </c>
      <c r="L191" s="5">
        <f>INDEX(products!$A$1:$G$49,MATCH($D191,products!$A$1:$A$49,0),MATCH(L$1,products!$A$1:$G$1,0))</f>
        <v>14.55</v>
      </c>
      <c r="M191" s="5">
        <f t="shared" si="7"/>
        <v>43.650000000000006</v>
      </c>
      <c r="N191" t="str">
        <f t="shared" si="9"/>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INDEX(products!$A$1:$G$49,MATCH($D192,products!$A$1:$A$49,0),MATCH(I$1,products!$A$1:$G$1,0))</f>
        <v>Lib</v>
      </c>
      <c r="J192" t="str">
        <f>INDEX(products!$A$1:$G$49,MATCH($D192,products!$A$1:$A$49,0),MATCH(J$1,products!$A$1:$G$1,0))</f>
        <v>M</v>
      </c>
      <c r="K192" s="4">
        <f>INDEX(products!$A$1:$G$49,MATCH($D192,products!$A$1:$A$49,0),MATCH(K$1,products!$A$1:$G$1,0))</f>
        <v>2.5</v>
      </c>
      <c r="L192" s="5">
        <f>INDEX(products!$A$1:$G$49,MATCH($D192,products!$A$1:$A$49,0),MATCH(L$1,products!$A$1:$G$1,0))</f>
        <v>33.464999999999996</v>
      </c>
      <c r="M192" s="5">
        <f t="shared" si="7"/>
        <v>33.464999999999996</v>
      </c>
      <c r="N192" t="str">
        <f t="shared" si="9"/>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INDEX(products!$A$1:$G$49,MATCH($D193,products!$A$1:$A$49,0),MATCH(I$1,products!$A$1:$G$1,0))</f>
        <v>Lib</v>
      </c>
      <c r="J193" t="str">
        <f>INDEX(products!$A$1:$G$49,MATCH($D193,products!$A$1:$A$49,0),MATCH(J$1,products!$A$1:$G$1,0))</f>
        <v>D</v>
      </c>
      <c r="K193" s="4">
        <f>INDEX(products!$A$1:$G$49,MATCH($D193,products!$A$1:$A$49,0),MATCH(K$1,products!$A$1:$G$1,0))</f>
        <v>0.2</v>
      </c>
      <c r="L193" s="5">
        <f>INDEX(products!$A$1:$G$49,MATCH($D193,products!$A$1:$A$49,0),MATCH(L$1,products!$A$1:$G$1,0))</f>
        <v>3.8849999999999998</v>
      </c>
      <c r="M193" s="5">
        <f t="shared" si="7"/>
        <v>19.424999999999997</v>
      </c>
      <c r="N193" t="str">
        <f t="shared" si="9"/>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INDEX(products!$A$1:$G$49,MATCH($D194,products!$A$1:$A$49,0),MATCH(I$1,products!$A$1:$G$1,0))</f>
        <v>Exc</v>
      </c>
      <c r="J194" t="str">
        <f>INDEX(products!$A$1:$G$49,MATCH($D194,products!$A$1:$A$49,0),MATCH(J$1,products!$A$1:$G$1,0))</f>
        <v>D</v>
      </c>
      <c r="K194" s="4">
        <f>INDEX(products!$A$1:$G$49,MATCH($D194,products!$A$1:$A$49,0),MATCH(K$1,products!$A$1:$G$1,0))</f>
        <v>1</v>
      </c>
      <c r="L194" s="5">
        <f>INDEX(products!$A$1:$G$49,MATCH($D194,products!$A$1:$A$49,0),MATCH(L$1,products!$A$1:$G$1,0))</f>
        <v>12.15</v>
      </c>
      <c r="M194" s="5">
        <f t="shared" si="7"/>
        <v>72.900000000000006</v>
      </c>
      <c r="N194" t="str">
        <f t="shared" si="9"/>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f>
        <v>Kimberli Mustchin</v>
      </c>
      <c r="G195" s="2" t="str">
        <f>IF(_xlfn.XLOOKUP(C195,customers!$A$1:$A$1001,customers!$C$1:$C$1001,,0)=0,"",_xlfn.XLOOKUP(C195,customers!$A$1:$A$1001,customers!$C$1:$C$1001,,0))</f>
        <v/>
      </c>
      <c r="H195" s="2" t="str">
        <f>_xlfn.XLOOKUP(C195,customers!$A$1:$A$1001,customers!$G$1:$G$1001,,0)</f>
        <v>United States</v>
      </c>
      <c r="I195" t="str">
        <f>INDEX(products!$A$1:$G$49,MATCH($D195,products!$A$1:$A$49,0),MATCH(I$1,products!$A$1:$G$1,0))</f>
        <v>Exc</v>
      </c>
      <c r="J195" t="str">
        <f>INDEX(products!$A$1:$G$49,MATCH($D195,products!$A$1:$A$49,0),MATCH(J$1,products!$A$1:$G$1,0))</f>
        <v>L</v>
      </c>
      <c r="K195" s="4">
        <f>INDEX(products!$A$1:$G$49,MATCH($D195,products!$A$1:$A$49,0),MATCH(K$1,products!$A$1:$G$1,0))</f>
        <v>1</v>
      </c>
      <c r="L195" s="5">
        <f>INDEX(products!$A$1:$G$49,MATCH($D195,products!$A$1:$A$49,0),MATCH(L$1,products!$A$1:$G$1,0))</f>
        <v>14.85</v>
      </c>
      <c r="M195" s="5">
        <f t="shared" ref="M195:M258" si="10">L195*E195</f>
        <v>44.55</v>
      </c>
      <c r="N195" t="str">
        <f t="shared" si="9"/>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INDEX(products!$A$1:$G$49,MATCH($D196,products!$A$1:$A$49,0),MATCH(I$1,products!$A$1:$G$1,0))</f>
        <v>Exc</v>
      </c>
      <c r="J196" t="str">
        <f>INDEX(products!$A$1:$G$49,MATCH($D196,products!$A$1:$A$49,0),MATCH(J$1,products!$A$1:$G$1,0))</f>
        <v>D</v>
      </c>
      <c r="K196" s="4">
        <f>INDEX(products!$A$1:$G$49,MATCH($D196,products!$A$1:$A$49,0),MATCH(K$1,products!$A$1:$G$1,0))</f>
        <v>0.5</v>
      </c>
      <c r="L196" s="5">
        <f>INDEX(products!$A$1:$G$49,MATCH($D196,products!$A$1:$A$49,0),MATCH(L$1,products!$A$1:$G$1,0))</f>
        <v>7.29</v>
      </c>
      <c r="M196" s="5">
        <f t="shared" si="10"/>
        <v>36.450000000000003</v>
      </c>
      <c r="N196" t="str">
        <f t="shared" si="9"/>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INDEX(products!$A$1:$G$49,MATCH($D197,products!$A$1:$A$49,0),MATCH(I$1,products!$A$1:$G$1,0))</f>
        <v>Ara</v>
      </c>
      <c r="J197" t="str">
        <f>INDEX(products!$A$1:$G$49,MATCH($D197,products!$A$1:$A$49,0),MATCH(J$1,products!$A$1:$G$1,0))</f>
        <v>L</v>
      </c>
      <c r="K197" s="4">
        <f>INDEX(products!$A$1:$G$49,MATCH($D197,products!$A$1:$A$49,0),MATCH(K$1,products!$A$1:$G$1,0))</f>
        <v>1</v>
      </c>
      <c r="L197" s="5">
        <f>INDEX(products!$A$1:$G$49,MATCH($D197,products!$A$1:$A$49,0),MATCH(L$1,products!$A$1:$G$1,0))</f>
        <v>12.95</v>
      </c>
      <c r="M197" s="5">
        <f t="shared" si="10"/>
        <v>38.849999999999994</v>
      </c>
      <c r="N197" t="str">
        <f t="shared" si="9"/>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INDEX(products!$A$1:$G$49,MATCH($D198,products!$A$1:$A$49,0),MATCH(I$1,products!$A$1:$G$1,0))</f>
        <v>Exc</v>
      </c>
      <c r="J198" t="str">
        <f>INDEX(products!$A$1:$G$49,MATCH($D198,products!$A$1:$A$49,0),MATCH(J$1,products!$A$1:$G$1,0))</f>
        <v>L</v>
      </c>
      <c r="K198" s="4">
        <f>INDEX(products!$A$1:$G$49,MATCH($D198,products!$A$1:$A$49,0),MATCH(K$1,products!$A$1:$G$1,0))</f>
        <v>0.5</v>
      </c>
      <c r="L198" s="5">
        <f>INDEX(products!$A$1:$G$49,MATCH($D198,products!$A$1:$A$49,0),MATCH(L$1,products!$A$1:$G$1,0))</f>
        <v>8.91</v>
      </c>
      <c r="M198" s="5">
        <f t="shared" si="10"/>
        <v>53.46</v>
      </c>
      <c r="N198" t="str">
        <f t="shared" si="9"/>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INDEX(products!$A$1:$G$49,MATCH($D199,products!$A$1:$A$49,0),MATCH(I$1,products!$A$1:$G$1,0))</f>
        <v>Lib</v>
      </c>
      <c r="J199" t="str">
        <f>INDEX(products!$A$1:$G$49,MATCH($D199,products!$A$1:$A$49,0),MATCH(J$1,products!$A$1:$G$1,0))</f>
        <v>D</v>
      </c>
      <c r="K199" s="4">
        <f>INDEX(products!$A$1:$G$49,MATCH($D199,products!$A$1:$A$49,0),MATCH(K$1,products!$A$1:$G$1,0))</f>
        <v>2.5</v>
      </c>
      <c r="L199" s="5">
        <f>INDEX(products!$A$1:$G$49,MATCH($D199,products!$A$1:$A$49,0),MATCH(L$1,products!$A$1:$G$1,0))</f>
        <v>29.784999999999997</v>
      </c>
      <c r="M199" s="5">
        <f t="shared" si="10"/>
        <v>59.569999999999993</v>
      </c>
      <c r="N199" t="str">
        <f t="shared" ref="N199:N262" si="12">IF(I199="Rob","Robusta",IF(I199="Ara","Arabica",IF(I199="Exc","Excelsa",IF(I199="Lib","Liberica",""))))</f>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INDEX(products!$A$1:$G$49,MATCH($D200,products!$A$1:$A$49,0),MATCH(I$1,products!$A$1:$G$1,0))</f>
        <v>Lib</v>
      </c>
      <c r="J200" t="str">
        <f>INDEX(products!$A$1:$G$49,MATCH($D200,products!$A$1:$A$49,0),MATCH(J$1,products!$A$1:$G$1,0))</f>
        <v>D</v>
      </c>
      <c r="K200" s="4">
        <f>INDEX(products!$A$1:$G$49,MATCH($D200,products!$A$1:$A$49,0),MATCH(K$1,products!$A$1:$G$1,0))</f>
        <v>2.5</v>
      </c>
      <c r="L200" s="5">
        <f>INDEX(products!$A$1:$G$49,MATCH($D200,products!$A$1:$A$49,0),MATCH(L$1,products!$A$1:$G$1,0))</f>
        <v>29.784999999999997</v>
      </c>
      <c r="M200" s="5">
        <f t="shared" si="10"/>
        <v>89.35499999999999</v>
      </c>
      <c r="N200" t="str">
        <f t="shared" si="12"/>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INDEX(products!$A$1:$G$49,MATCH($D201,products!$A$1:$A$49,0),MATCH(I$1,products!$A$1:$G$1,0))</f>
        <v>Lib</v>
      </c>
      <c r="J201" t="str">
        <f>INDEX(products!$A$1:$G$49,MATCH($D201,products!$A$1:$A$49,0),MATCH(J$1,products!$A$1:$G$1,0))</f>
        <v>L</v>
      </c>
      <c r="K201" s="4">
        <f>INDEX(products!$A$1:$G$49,MATCH($D201,products!$A$1:$A$49,0),MATCH(K$1,products!$A$1:$G$1,0))</f>
        <v>0.5</v>
      </c>
      <c r="L201" s="5">
        <f>INDEX(products!$A$1:$G$49,MATCH($D201,products!$A$1:$A$49,0),MATCH(L$1,products!$A$1:$G$1,0))</f>
        <v>9.51</v>
      </c>
      <c r="M201" s="5">
        <f t="shared" si="10"/>
        <v>38.04</v>
      </c>
      <c r="N201" t="str">
        <f t="shared" si="12"/>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INDEX(products!$A$1:$G$49,MATCH($D202,products!$A$1:$A$49,0),MATCH(I$1,products!$A$1:$G$1,0))</f>
        <v>Exc</v>
      </c>
      <c r="J202" t="str">
        <f>INDEX(products!$A$1:$G$49,MATCH($D202,products!$A$1:$A$49,0),MATCH(J$1,products!$A$1:$G$1,0))</f>
        <v>M</v>
      </c>
      <c r="K202" s="4">
        <f>INDEX(products!$A$1:$G$49,MATCH($D202,products!$A$1:$A$49,0),MATCH(K$1,products!$A$1:$G$1,0))</f>
        <v>1</v>
      </c>
      <c r="L202" s="5">
        <f>INDEX(products!$A$1:$G$49,MATCH($D202,products!$A$1:$A$49,0),MATCH(L$1,products!$A$1:$G$1,0))</f>
        <v>13.75</v>
      </c>
      <c r="M202" s="5">
        <f t="shared" si="10"/>
        <v>41.25</v>
      </c>
      <c r="N202" t="str">
        <f t="shared" si="12"/>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f>
        <v>Adriana Lazarus</v>
      </c>
      <c r="G203" s="2" t="str">
        <f>IF(_xlfn.XLOOKUP(C203,customers!$A$1:$A$1001,customers!$C$1:$C$1001,,0)=0,"",_xlfn.XLOOKUP(C203,customers!$A$1:$A$1001,customers!$C$1:$C$1001,,0))</f>
        <v/>
      </c>
      <c r="H203" s="2" t="str">
        <f>_xlfn.XLOOKUP(C203,customers!$A$1:$A$1001,customers!$G$1:$G$1001,,0)</f>
        <v>United States</v>
      </c>
      <c r="I203" t="str">
        <f>INDEX(products!$A$1:$G$49,MATCH($D203,products!$A$1:$A$49,0),MATCH(I$1,products!$A$1:$G$1,0))</f>
        <v>Lib</v>
      </c>
      <c r="J203" t="str">
        <f>INDEX(products!$A$1:$G$49,MATCH($D203,products!$A$1:$A$49,0),MATCH(J$1,products!$A$1:$G$1,0))</f>
        <v>L</v>
      </c>
      <c r="K203" s="4">
        <f>INDEX(products!$A$1:$G$49,MATCH($D203,products!$A$1:$A$49,0),MATCH(K$1,products!$A$1:$G$1,0))</f>
        <v>0.5</v>
      </c>
      <c r="L203" s="5">
        <f>INDEX(products!$A$1:$G$49,MATCH($D203,products!$A$1:$A$49,0),MATCH(L$1,products!$A$1:$G$1,0))</f>
        <v>9.51</v>
      </c>
      <c r="M203" s="5">
        <f t="shared" si="10"/>
        <v>57.06</v>
      </c>
      <c r="N203" t="str">
        <f t="shared" si="12"/>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INDEX(products!$A$1:$G$49,MATCH($D204,products!$A$1:$A$49,0),MATCH(I$1,products!$A$1:$G$1,0))</f>
        <v>Lib</v>
      </c>
      <c r="J204" t="str">
        <f>INDEX(products!$A$1:$G$49,MATCH($D204,products!$A$1:$A$49,0),MATCH(J$1,products!$A$1:$G$1,0))</f>
        <v>D</v>
      </c>
      <c r="K204" s="4">
        <f>INDEX(products!$A$1:$G$49,MATCH($D204,products!$A$1:$A$49,0),MATCH(K$1,products!$A$1:$G$1,0))</f>
        <v>2.5</v>
      </c>
      <c r="L204" s="5">
        <f>INDEX(products!$A$1:$G$49,MATCH($D204,products!$A$1:$A$49,0),MATCH(L$1,products!$A$1:$G$1,0))</f>
        <v>29.784999999999997</v>
      </c>
      <c r="M204" s="5">
        <f t="shared" si="10"/>
        <v>178.70999999999998</v>
      </c>
      <c r="N204" t="str">
        <f t="shared" si="12"/>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INDEX(products!$A$1:$G$49,MATCH($D205,products!$A$1:$A$49,0),MATCH(I$1,products!$A$1:$G$1,0))</f>
        <v>Lib</v>
      </c>
      <c r="J205" t="str">
        <f>INDEX(products!$A$1:$G$49,MATCH($D205,products!$A$1:$A$49,0),MATCH(J$1,products!$A$1:$G$1,0))</f>
        <v>L</v>
      </c>
      <c r="K205" s="4">
        <f>INDEX(products!$A$1:$G$49,MATCH($D205,products!$A$1:$A$49,0),MATCH(K$1,products!$A$1:$G$1,0))</f>
        <v>0.2</v>
      </c>
      <c r="L205" s="5">
        <f>INDEX(products!$A$1:$G$49,MATCH($D205,products!$A$1:$A$49,0),MATCH(L$1,products!$A$1:$G$1,0))</f>
        <v>4.7549999999999999</v>
      </c>
      <c r="M205" s="5">
        <f t="shared" si="10"/>
        <v>4.7549999999999999</v>
      </c>
      <c r="N205" t="str">
        <f t="shared" si="12"/>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f>
        <v>Sarette Ducarel</v>
      </c>
      <c r="G206" s="2" t="str">
        <f>IF(_xlfn.XLOOKUP(C206,customers!$A$1:$A$1001,customers!$C$1:$C$1001,,0)=0,"",_xlfn.XLOOKUP(C206,customers!$A$1:$A$1001,customers!$C$1:$C$1001,,0))</f>
        <v/>
      </c>
      <c r="H206" s="2" t="str">
        <f>_xlfn.XLOOKUP(C206,customers!$A$1:$A$1001,customers!$G$1:$G$1001,,0)</f>
        <v>United States</v>
      </c>
      <c r="I206" t="str">
        <f>INDEX(products!$A$1:$G$49,MATCH($D206,products!$A$1:$A$49,0),MATCH(I$1,products!$A$1:$G$1,0))</f>
        <v>Exc</v>
      </c>
      <c r="J206" t="str">
        <f>INDEX(products!$A$1:$G$49,MATCH($D206,products!$A$1:$A$49,0),MATCH(J$1,products!$A$1:$G$1,0))</f>
        <v>M</v>
      </c>
      <c r="K206" s="4">
        <f>INDEX(products!$A$1:$G$49,MATCH($D206,products!$A$1:$A$49,0),MATCH(K$1,products!$A$1:$G$1,0))</f>
        <v>1</v>
      </c>
      <c r="L206" s="5">
        <f>INDEX(products!$A$1:$G$49,MATCH($D206,products!$A$1:$A$49,0),MATCH(L$1,products!$A$1:$G$1,0))</f>
        <v>13.75</v>
      </c>
      <c r="M206" s="5">
        <f t="shared" si="10"/>
        <v>82.5</v>
      </c>
      <c r="N206" t="str">
        <f t="shared" si="12"/>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f>
        <v>Kendra Glison</v>
      </c>
      <c r="G207" s="2" t="str">
        <f>IF(_xlfn.XLOOKUP(C207,customers!$A$1:$A$1001,customers!$C$1:$C$1001,,0)=0,"",_xlfn.XLOOKUP(C207,customers!$A$1:$A$1001,customers!$C$1:$C$1001,,0))</f>
        <v/>
      </c>
      <c r="H207" s="2" t="str">
        <f>_xlfn.XLOOKUP(C207,customers!$A$1:$A$1001,customers!$G$1:$G$1001,,0)</f>
        <v>United States</v>
      </c>
      <c r="I207" t="str">
        <f>INDEX(products!$A$1:$G$49,MATCH($D207,products!$A$1:$A$49,0),MATCH(I$1,products!$A$1:$G$1,0))</f>
        <v>Rob</v>
      </c>
      <c r="J207" t="str">
        <f>INDEX(products!$A$1:$G$49,MATCH($D207,products!$A$1:$A$49,0),MATCH(J$1,products!$A$1:$G$1,0))</f>
        <v>D</v>
      </c>
      <c r="K207" s="4">
        <f>INDEX(products!$A$1:$G$49,MATCH($D207,products!$A$1:$A$49,0),MATCH(K$1,products!$A$1:$G$1,0))</f>
        <v>0.2</v>
      </c>
      <c r="L207" s="5">
        <f>INDEX(products!$A$1:$G$49,MATCH($D207,products!$A$1:$A$49,0),MATCH(L$1,products!$A$1:$G$1,0))</f>
        <v>2.6849999999999996</v>
      </c>
      <c r="M207" s="5">
        <f t="shared" si="10"/>
        <v>8.0549999999999997</v>
      </c>
      <c r="N207" t="str">
        <f t="shared" si="12"/>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INDEX(products!$A$1:$G$49,MATCH($D208,products!$A$1:$A$49,0),MATCH(I$1,products!$A$1:$G$1,0))</f>
        <v>Ara</v>
      </c>
      <c r="J208" t="str">
        <f>INDEX(products!$A$1:$G$49,MATCH($D208,products!$A$1:$A$49,0),MATCH(J$1,products!$A$1:$G$1,0))</f>
        <v>M</v>
      </c>
      <c r="K208" s="4">
        <f>INDEX(products!$A$1:$G$49,MATCH($D208,products!$A$1:$A$49,0),MATCH(K$1,products!$A$1:$G$1,0))</f>
        <v>1</v>
      </c>
      <c r="L208" s="5">
        <f>INDEX(products!$A$1:$G$49,MATCH($D208,products!$A$1:$A$49,0),MATCH(L$1,products!$A$1:$G$1,0))</f>
        <v>11.25</v>
      </c>
      <c r="M208" s="5">
        <f t="shared" si="10"/>
        <v>22.5</v>
      </c>
      <c r="N208" t="str">
        <f t="shared" si="12"/>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INDEX(products!$A$1:$G$49,MATCH($D209,products!$A$1:$A$49,0),MATCH(I$1,products!$A$1:$G$1,0))</f>
        <v>Ara</v>
      </c>
      <c r="J209" t="str">
        <f>INDEX(products!$A$1:$G$49,MATCH($D209,products!$A$1:$A$49,0),MATCH(J$1,products!$A$1:$G$1,0))</f>
        <v>M</v>
      </c>
      <c r="K209" s="4">
        <f>INDEX(products!$A$1:$G$49,MATCH($D209,products!$A$1:$A$49,0),MATCH(K$1,products!$A$1:$G$1,0))</f>
        <v>0.5</v>
      </c>
      <c r="L209" s="5">
        <f>INDEX(products!$A$1:$G$49,MATCH($D209,products!$A$1:$A$49,0),MATCH(L$1,products!$A$1:$G$1,0))</f>
        <v>6.75</v>
      </c>
      <c r="M209" s="5">
        <f t="shared" si="10"/>
        <v>40.5</v>
      </c>
      <c r="N209" t="str">
        <f t="shared" si="12"/>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INDEX(products!$A$1:$G$49,MATCH($D210,products!$A$1:$A$49,0),MATCH(I$1,products!$A$1:$G$1,0))</f>
        <v>Exc</v>
      </c>
      <c r="J210" t="str">
        <f>INDEX(products!$A$1:$G$49,MATCH($D210,products!$A$1:$A$49,0),MATCH(J$1,products!$A$1:$G$1,0))</f>
        <v>D</v>
      </c>
      <c r="K210" s="4">
        <f>INDEX(products!$A$1:$G$49,MATCH($D210,products!$A$1:$A$49,0),MATCH(K$1,products!$A$1:$G$1,0))</f>
        <v>0.5</v>
      </c>
      <c r="L210" s="5">
        <f>INDEX(products!$A$1:$G$49,MATCH($D210,products!$A$1:$A$49,0),MATCH(L$1,products!$A$1:$G$1,0))</f>
        <v>7.29</v>
      </c>
      <c r="M210" s="5">
        <f t="shared" si="10"/>
        <v>29.16</v>
      </c>
      <c r="N210" t="str">
        <f t="shared" si="12"/>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INDEX(products!$A$1:$G$49,MATCH($D211,products!$A$1:$A$49,0),MATCH(I$1,products!$A$1:$G$1,0))</f>
        <v>Ara</v>
      </c>
      <c r="J211" t="str">
        <f>INDEX(products!$A$1:$G$49,MATCH($D211,products!$A$1:$A$49,0),MATCH(J$1,products!$A$1:$G$1,0))</f>
        <v>M</v>
      </c>
      <c r="K211" s="4">
        <f>INDEX(products!$A$1:$G$49,MATCH($D211,products!$A$1:$A$49,0),MATCH(K$1,products!$A$1:$G$1,0))</f>
        <v>0.5</v>
      </c>
      <c r="L211" s="5">
        <f>INDEX(products!$A$1:$G$49,MATCH($D211,products!$A$1:$A$49,0),MATCH(L$1,products!$A$1:$G$1,0))</f>
        <v>6.75</v>
      </c>
      <c r="M211" s="5">
        <f t="shared" si="10"/>
        <v>6.75</v>
      </c>
      <c r="N211" t="str">
        <f t="shared" si="12"/>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INDEX(products!$A$1:$G$49,MATCH($D212,products!$A$1:$A$49,0),MATCH(I$1,products!$A$1:$G$1,0))</f>
        <v>Lib</v>
      </c>
      <c r="J212" t="str">
        <f>INDEX(products!$A$1:$G$49,MATCH($D212,products!$A$1:$A$49,0),MATCH(J$1,products!$A$1:$G$1,0))</f>
        <v>D</v>
      </c>
      <c r="K212" s="4">
        <f>INDEX(products!$A$1:$G$49,MATCH($D212,products!$A$1:$A$49,0),MATCH(K$1,products!$A$1:$G$1,0))</f>
        <v>1</v>
      </c>
      <c r="L212" s="5">
        <f>INDEX(products!$A$1:$G$49,MATCH($D212,products!$A$1:$A$49,0),MATCH(L$1,products!$A$1:$G$1,0))</f>
        <v>12.95</v>
      </c>
      <c r="M212" s="5">
        <f t="shared" si="10"/>
        <v>51.8</v>
      </c>
      <c r="N212" t="str">
        <f t="shared" si="12"/>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INDEX(products!$A$1:$G$49,MATCH($D213,products!$A$1:$A$49,0),MATCH(I$1,products!$A$1:$G$1,0))</f>
        <v>Exc</v>
      </c>
      <c r="J213" t="str">
        <f>INDEX(products!$A$1:$G$49,MATCH($D213,products!$A$1:$A$49,0),MATCH(J$1,products!$A$1:$G$1,0))</f>
        <v>L</v>
      </c>
      <c r="K213" s="4">
        <f>INDEX(products!$A$1:$G$49,MATCH($D213,products!$A$1:$A$49,0),MATCH(K$1,products!$A$1:$G$1,0))</f>
        <v>0.5</v>
      </c>
      <c r="L213" s="5">
        <f>INDEX(products!$A$1:$G$49,MATCH($D213,products!$A$1:$A$49,0),MATCH(L$1,products!$A$1:$G$1,0))</f>
        <v>8.91</v>
      </c>
      <c r="M213" s="5">
        <f t="shared" si="10"/>
        <v>53.46</v>
      </c>
      <c r="N213" t="str">
        <f t="shared" si="12"/>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INDEX(products!$A$1:$G$49,MATCH($D214,products!$A$1:$A$49,0),MATCH(I$1,products!$A$1:$G$1,0))</f>
        <v>Exc</v>
      </c>
      <c r="J214" t="str">
        <f>INDEX(products!$A$1:$G$49,MATCH($D214,products!$A$1:$A$49,0),MATCH(J$1,products!$A$1:$G$1,0))</f>
        <v>D</v>
      </c>
      <c r="K214" s="4">
        <f>INDEX(products!$A$1:$G$49,MATCH($D214,products!$A$1:$A$49,0),MATCH(K$1,products!$A$1:$G$1,0))</f>
        <v>0.2</v>
      </c>
      <c r="L214" s="5">
        <f>INDEX(products!$A$1:$G$49,MATCH($D214,products!$A$1:$A$49,0),MATCH(L$1,products!$A$1:$G$1,0))</f>
        <v>3.645</v>
      </c>
      <c r="M214" s="5">
        <f t="shared" si="10"/>
        <v>14.58</v>
      </c>
      <c r="N214" t="str">
        <f t="shared" si="12"/>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INDEX(products!$A$1:$G$49,MATCH($D215,products!$A$1:$A$49,0),MATCH(I$1,products!$A$1:$G$1,0))</f>
        <v>Rob</v>
      </c>
      <c r="J215" t="str">
        <f>INDEX(products!$A$1:$G$49,MATCH($D215,products!$A$1:$A$49,0),MATCH(J$1,products!$A$1:$G$1,0))</f>
        <v>D</v>
      </c>
      <c r="K215" s="4">
        <f>INDEX(products!$A$1:$G$49,MATCH($D215,products!$A$1:$A$49,0),MATCH(K$1,products!$A$1:$G$1,0))</f>
        <v>2.5</v>
      </c>
      <c r="L215" s="5">
        <f>INDEX(products!$A$1:$G$49,MATCH($D215,products!$A$1:$A$49,0),MATCH(L$1,products!$A$1:$G$1,0))</f>
        <v>20.584999999999997</v>
      </c>
      <c r="M215" s="5">
        <f t="shared" si="10"/>
        <v>20.584999999999997</v>
      </c>
      <c r="N215" t="str">
        <f t="shared" si="12"/>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f>
        <v>Murdock Hame</v>
      </c>
      <c r="G216" s="2" t="str">
        <f>IF(_xlfn.XLOOKUP(C216,customers!$A$1:$A$1001,customers!$C$1:$C$1001,,0)=0,"",_xlfn.XLOOKUP(C216,customers!$A$1:$A$1001,customers!$C$1:$C$1001,,0))</f>
        <v>mhame5y@newsvine.com</v>
      </c>
      <c r="H216" s="2" t="str">
        <f>_xlfn.XLOOKUP(C216,customers!$A$1:$A$1001,customers!$G$1:$G$1001,,0)</f>
        <v>Ireland</v>
      </c>
      <c r="I216" t="str">
        <f>INDEX(products!$A$1:$G$49,MATCH($D216,products!$A$1:$A$49,0),MATCH(I$1,products!$A$1:$G$1,0))</f>
        <v>Lib</v>
      </c>
      <c r="J216" t="str">
        <f>INDEX(products!$A$1:$G$49,MATCH($D216,products!$A$1:$A$49,0),MATCH(J$1,products!$A$1:$G$1,0))</f>
        <v>L</v>
      </c>
      <c r="K216" s="4">
        <f>INDEX(products!$A$1:$G$49,MATCH($D216,products!$A$1:$A$49,0),MATCH(K$1,products!$A$1:$G$1,0))</f>
        <v>1</v>
      </c>
      <c r="L216" s="5">
        <f>INDEX(products!$A$1:$G$49,MATCH($D216,products!$A$1:$A$49,0),MATCH(L$1,products!$A$1:$G$1,0))</f>
        <v>15.85</v>
      </c>
      <c r="M216" s="5">
        <f t="shared" si="10"/>
        <v>31.7</v>
      </c>
      <c r="N216" t="str">
        <f t="shared" si="12"/>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INDEX(products!$A$1:$G$49,MATCH($D217,products!$A$1:$A$49,0),MATCH(I$1,products!$A$1:$G$1,0))</f>
        <v>Lib</v>
      </c>
      <c r="J217" t="str">
        <f>INDEX(products!$A$1:$G$49,MATCH($D217,products!$A$1:$A$49,0),MATCH(J$1,products!$A$1:$G$1,0))</f>
        <v>D</v>
      </c>
      <c r="K217" s="4">
        <f>INDEX(products!$A$1:$G$49,MATCH($D217,products!$A$1:$A$49,0),MATCH(K$1,products!$A$1:$G$1,0))</f>
        <v>0.2</v>
      </c>
      <c r="L217" s="5">
        <f>INDEX(products!$A$1:$G$49,MATCH($D217,products!$A$1:$A$49,0),MATCH(L$1,products!$A$1:$G$1,0))</f>
        <v>3.8849999999999998</v>
      </c>
      <c r="M217" s="5">
        <f t="shared" si="10"/>
        <v>23.31</v>
      </c>
      <c r="N217" t="str">
        <f t="shared" si="12"/>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INDEX(products!$A$1:$G$49,MATCH($D218,products!$A$1:$A$49,0),MATCH(I$1,products!$A$1:$G$1,0))</f>
        <v>Lib</v>
      </c>
      <c r="J218" t="str">
        <f>INDEX(products!$A$1:$G$49,MATCH($D218,products!$A$1:$A$49,0),MATCH(J$1,products!$A$1:$G$1,0))</f>
        <v>M</v>
      </c>
      <c r="K218" s="4">
        <f>INDEX(products!$A$1:$G$49,MATCH($D218,products!$A$1:$A$49,0),MATCH(K$1,products!$A$1:$G$1,0))</f>
        <v>1</v>
      </c>
      <c r="L218" s="5">
        <f>INDEX(products!$A$1:$G$49,MATCH($D218,products!$A$1:$A$49,0),MATCH(L$1,products!$A$1:$G$1,0))</f>
        <v>14.55</v>
      </c>
      <c r="M218" s="5">
        <f t="shared" si="10"/>
        <v>58.2</v>
      </c>
      <c r="N218" t="str">
        <f t="shared" si="12"/>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INDEX(products!$A$1:$G$49,MATCH($D219,products!$A$1:$A$49,0),MATCH(I$1,products!$A$1:$G$1,0))</f>
        <v>Exc</v>
      </c>
      <c r="J219" t="str">
        <f>INDEX(products!$A$1:$G$49,MATCH($D219,products!$A$1:$A$49,0),MATCH(J$1,products!$A$1:$G$1,0))</f>
        <v>L</v>
      </c>
      <c r="K219" s="4">
        <f>INDEX(products!$A$1:$G$49,MATCH($D219,products!$A$1:$A$49,0),MATCH(K$1,products!$A$1:$G$1,0))</f>
        <v>0.5</v>
      </c>
      <c r="L219" s="5">
        <f>INDEX(products!$A$1:$G$49,MATCH($D219,products!$A$1:$A$49,0),MATCH(L$1,products!$A$1:$G$1,0))</f>
        <v>8.91</v>
      </c>
      <c r="M219" s="5">
        <f t="shared" si="10"/>
        <v>35.64</v>
      </c>
      <c r="N219" t="str">
        <f t="shared" si="12"/>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f>
        <v>Rem Furman</v>
      </c>
      <c r="G220" s="2" t="str">
        <f>IF(_xlfn.XLOOKUP(C220,customers!$A$1:$A$1001,customers!$C$1:$C$1001,,0)=0,"",_xlfn.XLOOKUP(C220,customers!$A$1:$A$1001,customers!$C$1:$C$1001,,0))</f>
        <v>rfurman62@t.co</v>
      </c>
      <c r="H220" s="2" t="str">
        <f>_xlfn.XLOOKUP(C220,customers!$A$1:$A$1001,customers!$G$1:$G$1001,,0)</f>
        <v>Ireland</v>
      </c>
      <c r="I220" t="str">
        <f>INDEX(products!$A$1:$G$49,MATCH($D220,products!$A$1:$A$49,0),MATCH(I$1,products!$A$1:$G$1,0))</f>
        <v>Ara</v>
      </c>
      <c r="J220" t="str">
        <f>INDEX(products!$A$1:$G$49,MATCH($D220,products!$A$1:$A$49,0),MATCH(J$1,products!$A$1:$G$1,0))</f>
        <v>M</v>
      </c>
      <c r="K220" s="4">
        <f>INDEX(products!$A$1:$G$49,MATCH($D220,products!$A$1:$A$49,0),MATCH(K$1,products!$A$1:$G$1,0))</f>
        <v>1</v>
      </c>
      <c r="L220" s="5">
        <f>INDEX(products!$A$1:$G$49,MATCH($D220,products!$A$1:$A$49,0),MATCH(L$1,products!$A$1:$G$1,0))</f>
        <v>11.25</v>
      </c>
      <c r="M220" s="5">
        <f t="shared" si="10"/>
        <v>56.25</v>
      </c>
      <c r="N220" t="str">
        <f t="shared" si="12"/>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INDEX(products!$A$1:$G$49,MATCH($D221,products!$A$1:$A$49,0),MATCH(I$1,products!$A$1:$G$1,0))</f>
        <v>Rob</v>
      </c>
      <c r="J221" t="str">
        <f>INDEX(products!$A$1:$G$49,MATCH($D221,products!$A$1:$A$49,0),MATCH(J$1,products!$A$1:$G$1,0))</f>
        <v>L</v>
      </c>
      <c r="K221" s="4">
        <f>INDEX(products!$A$1:$G$49,MATCH($D221,products!$A$1:$A$49,0),MATCH(K$1,products!$A$1:$G$1,0))</f>
        <v>0.2</v>
      </c>
      <c r="L221" s="5">
        <f>INDEX(products!$A$1:$G$49,MATCH($D221,products!$A$1:$A$49,0),MATCH(L$1,products!$A$1:$G$1,0))</f>
        <v>3.5849999999999995</v>
      </c>
      <c r="M221" s="5">
        <f t="shared" si="10"/>
        <v>10.754999999999999</v>
      </c>
      <c r="N221" t="str">
        <f t="shared" si="12"/>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INDEX(products!$A$1:$G$49,MATCH($D222,products!$A$1:$A$49,0),MATCH(I$1,products!$A$1:$G$1,0))</f>
        <v>Rob</v>
      </c>
      <c r="J222" t="str">
        <f>INDEX(products!$A$1:$G$49,MATCH($D222,products!$A$1:$A$49,0),MATCH(J$1,products!$A$1:$G$1,0))</f>
        <v>M</v>
      </c>
      <c r="K222" s="4">
        <f>INDEX(products!$A$1:$G$49,MATCH($D222,products!$A$1:$A$49,0),MATCH(K$1,products!$A$1:$G$1,0))</f>
        <v>0.2</v>
      </c>
      <c r="L222" s="5">
        <f>INDEX(products!$A$1:$G$49,MATCH($D222,products!$A$1:$A$49,0),MATCH(L$1,products!$A$1:$G$1,0))</f>
        <v>2.9849999999999999</v>
      </c>
      <c r="M222" s="5">
        <f t="shared" si="10"/>
        <v>14.924999999999999</v>
      </c>
      <c r="N222" t="str">
        <f t="shared" si="12"/>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INDEX(products!$A$1:$G$49,MATCH($D223,products!$A$1:$A$49,0),MATCH(I$1,products!$A$1:$G$1,0))</f>
        <v>Ara</v>
      </c>
      <c r="J223" t="str">
        <f>INDEX(products!$A$1:$G$49,MATCH($D223,products!$A$1:$A$49,0),MATCH(J$1,products!$A$1:$G$1,0))</f>
        <v>L</v>
      </c>
      <c r="K223" s="4">
        <f>INDEX(products!$A$1:$G$49,MATCH($D223,products!$A$1:$A$49,0),MATCH(K$1,products!$A$1:$G$1,0))</f>
        <v>1</v>
      </c>
      <c r="L223" s="5">
        <f>INDEX(products!$A$1:$G$49,MATCH($D223,products!$A$1:$A$49,0),MATCH(L$1,products!$A$1:$G$1,0))</f>
        <v>12.95</v>
      </c>
      <c r="M223" s="5">
        <f t="shared" si="10"/>
        <v>77.699999999999989</v>
      </c>
      <c r="N223" t="str">
        <f t="shared" si="12"/>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INDEX(products!$A$1:$G$49,MATCH($D224,products!$A$1:$A$49,0),MATCH(I$1,products!$A$1:$G$1,0))</f>
        <v>Lib</v>
      </c>
      <c r="J224" t="str">
        <f>INDEX(products!$A$1:$G$49,MATCH($D224,products!$A$1:$A$49,0),MATCH(J$1,products!$A$1:$G$1,0))</f>
        <v>D</v>
      </c>
      <c r="K224" s="4">
        <f>INDEX(products!$A$1:$G$49,MATCH($D224,products!$A$1:$A$49,0),MATCH(K$1,products!$A$1:$G$1,0))</f>
        <v>0.5</v>
      </c>
      <c r="L224" s="5">
        <f>INDEX(products!$A$1:$G$49,MATCH($D224,products!$A$1:$A$49,0),MATCH(L$1,products!$A$1:$G$1,0))</f>
        <v>7.77</v>
      </c>
      <c r="M224" s="5">
        <f t="shared" si="10"/>
        <v>23.31</v>
      </c>
      <c r="N224" t="str">
        <f t="shared" si="12"/>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f>
        <v>Bobbe Piggott</v>
      </c>
      <c r="G225" s="2" t="str">
        <f>IF(_xlfn.XLOOKUP(C225,customers!$A$1:$A$1001,customers!$C$1:$C$1001,,0)=0,"",_xlfn.XLOOKUP(C225,customers!$A$1:$A$1001,customers!$C$1:$C$1001,,0))</f>
        <v/>
      </c>
      <c r="H225" s="2" t="str">
        <f>_xlfn.XLOOKUP(C225,customers!$A$1:$A$1001,customers!$G$1:$G$1001,,0)</f>
        <v>United States</v>
      </c>
      <c r="I225" t="str">
        <f>INDEX(products!$A$1:$G$49,MATCH($D225,products!$A$1:$A$49,0),MATCH(I$1,products!$A$1:$G$1,0))</f>
        <v>Exc</v>
      </c>
      <c r="J225" t="str">
        <f>INDEX(products!$A$1:$G$49,MATCH($D225,products!$A$1:$A$49,0),MATCH(J$1,products!$A$1:$G$1,0))</f>
        <v>L</v>
      </c>
      <c r="K225" s="4">
        <f>INDEX(products!$A$1:$G$49,MATCH($D225,products!$A$1:$A$49,0),MATCH(K$1,products!$A$1:$G$1,0))</f>
        <v>1</v>
      </c>
      <c r="L225" s="5">
        <f>INDEX(products!$A$1:$G$49,MATCH($D225,products!$A$1:$A$49,0),MATCH(L$1,products!$A$1:$G$1,0))</f>
        <v>14.85</v>
      </c>
      <c r="M225" s="5">
        <f t="shared" si="10"/>
        <v>59.4</v>
      </c>
      <c r="N225" t="str">
        <f t="shared" si="12"/>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INDEX(products!$A$1:$G$49,MATCH($D226,products!$A$1:$A$49,0),MATCH(I$1,products!$A$1:$G$1,0))</f>
        <v>Lib</v>
      </c>
      <c r="J226" t="str">
        <f>INDEX(products!$A$1:$G$49,MATCH($D226,products!$A$1:$A$49,0),MATCH(J$1,products!$A$1:$G$1,0))</f>
        <v>D</v>
      </c>
      <c r="K226" s="4">
        <f>INDEX(products!$A$1:$G$49,MATCH($D226,products!$A$1:$A$49,0),MATCH(K$1,products!$A$1:$G$1,0))</f>
        <v>2.5</v>
      </c>
      <c r="L226" s="5">
        <f>INDEX(products!$A$1:$G$49,MATCH($D226,products!$A$1:$A$49,0),MATCH(L$1,products!$A$1:$G$1,0))</f>
        <v>29.784999999999997</v>
      </c>
      <c r="M226" s="5">
        <f t="shared" si="10"/>
        <v>119.13999999999999</v>
      </c>
      <c r="N226" t="str">
        <f t="shared" si="12"/>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INDEX(products!$A$1:$G$49,MATCH($D227,products!$A$1:$A$49,0),MATCH(I$1,products!$A$1:$G$1,0))</f>
        <v>Rob</v>
      </c>
      <c r="J227" t="str">
        <f>INDEX(products!$A$1:$G$49,MATCH($D227,products!$A$1:$A$49,0),MATCH(J$1,products!$A$1:$G$1,0))</f>
        <v>L</v>
      </c>
      <c r="K227" s="4">
        <f>INDEX(products!$A$1:$G$49,MATCH($D227,products!$A$1:$A$49,0),MATCH(K$1,products!$A$1:$G$1,0))</f>
        <v>0.2</v>
      </c>
      <c r="L227" s="5">
        <f>INDEX(products!$A$1:$G$49,MATCH($D227,products!$A$1:$A$49,0),MATCH(L$1,products!$A$1:$G$1,0))</f>
        <v>3.5849999999999995</v>
      </c>
      <c r="M227" s="5">
        <f t="shared" si="10"/>
        <v>14.339999999999998</v>
      </c>
      <c r="N227" t="str">
        <f t="shared" si="12"/>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INDEX(products!$A$1:$G$49,MATCH($D228,products!$A$1:$A$49,0),MATCH(I$1,products!$A$1:$G$1,0))</f>
        <v>Ara</v>
      </c>
      <c r="J228" t="str">
        <f>INDEX(products!$A$1:$G$49,MATCH($D228,products!$A$1:$A$49,0),MATCH(J$1,products!$A$1:$G$1,0))</f>
        <v>M</v>
      </c>
      <c r="K228" s="4">
        <f>INDEX(products!$A$1:$G$49,MATCH($D228,products!$A$1:$A$49,0),MATCH(K$1,products!$A$1:$G$1,0))</f>
        <v>2.5</v>
      </c>
      <c r="L228" s="5">
        <f>INDEX(products!$A$1:$G$49,MATCH($D228,products!$A$1:$A$49,0),MATCH(L$1,products!$A$1:$G$1,0))</f>
        <v>25.874999999999996</v>
      </c>
      <c r="M228" s="5">
        <f t="shared" si="10"/>
        <v>129.37499999999997</v>
      </c>
      <c r="N228" t="str">
        <f t="shared" si="12"/>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INDEX(products!$A$1:$G$49,MATCH($D229,products!$A$1:$A$49,0),MATCH(I$1,products!$A$1:$G$1,0))</f>
        <v>Rob</v>
      </c>
      <c r="J229" t="str">
        <f>INDEX(products!$A$1:$G$49,MATCH($D229,products!$A$1:$A$49,0),MATCH(J$1,products!$A$1:$G$1,0))</f>
        <v>D</v>
      </c>
      <c r="K229" s="4">
        <f>INDEX(products!$A$1:$G$49,MATCH($D229,products!$A$1:$A$49,0),MATCH(K$1,products!$A$1:$G$1,0))</f>
        <v>0.2</v>
      </c>
      <c r="L229" s="5">
        <f>INDEX(products!$A$1:$G$49,MATCH($D229,products!$A$1:$A$49,0),MATCH(L$1,products!$A$1:$G$1,0))</f>
        <v>2.6849999999999996</v>
      </c>
      <c r="M229" s="5">
        <f t="shared" si="10"/>
        <v>16.11</v>
      </c>
      <c r="N229" t="str">
        <f t="shared" si="12"/>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INDEX(products!$A$1:$G$49,MATCH($D230,products!$A$1:$A$49,0),MATCH(I$1,products!$A$1:$G$1,0))</f>
        <v>Rob</v>
      </c>
      <c r="J230" t="str">
        <f>INDEX(products!$A$1:$G$49,MATCH($D230,products!$A$1:$A$49,0),MATCH(J$1,products!$A$1:$G$1,0))</f>
        <v>L</v>
      </c>
      <c r="K230" s="4">
        <f>INDEX(products!$A$1:$G$49,MATCH($D230,products!$A$1:$A$49,0),MATCH(K$1,products!$A$1:$G$1,0))</f>
        <v>0.2</v>
      </c>
      <c r="L230" s="5">
        <f>INDEX(products!$A$1:$G$49,MATCH($D230,products!$A$1:$A$49,0),MATCH(L$1,products!$A$1:$G$1,0))</f>
        <v>3.5849999999999995</v>
      </c>
      <c r="M230" s="5">
        <f t="shared" si="10"/>
        <v>17.924999999999997</v>
      </c>
      <c r="N230" t="str">
        <f t="shared" si="12"/>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INDEX(products!$A$1:$G$49,MATCH($D231,products!$A$1:$A$49,0),MATCH(I$1,products!$A$1:$G$1,0))</f>
        <v>Lib</v>
      </c>
      <c r="J231" t="str">
        <f>INDEX(products!$A$1:$G$49,MATCH($D231,products!$A$1:$A$49,0),MATCH(J$1,products!$A$1:$G$1,0))</f>
        <v>M</v>
      </c>
      <c r="K231" s="4">
        <f>INDEX(products!$A$1:$G$49,MATCH($D231,products!$A$1:$A$49,0),MATCH(K$1,products!$A$1:$G$1,0))</f>
        <v>0.2</v>
      </c>
      <c r="L231" s="5">
        <f>INDEX(products!$A$1:$G$49,MATCH($D231,products!$A$1:$A$49,0),MATCH(L$1,products!$A$1:$G$1,0))</f>
        <v>4.3650000000000002</v>
      </c>
      <c r="M231" s="5">
        <f t="shared" si="10"/>
        <v>8.73</v>
      </c>
      <c r="N231" t="str">
        <f t="shared" si="12"/>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INDEX(products!$A$1:$G$49,MATCH($D232,products!$A$1:$A$49,0),MATCH(I$1,products!$A$1:$G$1,0))</f>
        <v>Ara</v>
      </c>
      <c r="J232" t="str">
        <f>INDEX(products!$A$1:$G$49,MATCH($D232,products!$A$1:$A$49,0),MATCH(J$1,products!$A$1:$G$1,0))</f>
        <v>M</v>
      </c>
      <c r="K232" s="4">
        <f>INDEX(products!$A$1:$G$49,MATCH($D232,products!$A$1:$A$49,0),MATCH(K$1,products!$A$1:$G$1,0))</f>
        <v>2.5</v>
      </c>
      <c r="L232" s="5">
        <f>INDEX(products!$A$1:$G$49,MATCH($D232,products!$A$1:$A$49,0),MATCH(L$1,products!$A$1:$G$1,0))</f>
        <v>25.874999999999996</v>
      </c>
      <c r="M232" s="5">
        <f t="shared" si="10"/>
        <v>51.749999999999993</v>
      </c>
      <c r="N232" t="str">
        <f t="shared" si="12"/>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f>
        <v>Sinclare Edsell</v>
      </c>
      <c r="G233" s="2" t="str">
        <f>IF(_xlfn.XLOOKUP(C233,customers!$A$1:$A$1001,customers!$C$1:$C$1001,,0)=0,"",_xlfn.XLOOKUP(C233,customers!$A$1:$A$1001,customers!$C$1:$C$1001,,0))</f>
        <v/>
      </c>
      <c r="H233" s="2" t="str">
        <f>_xlfn.XLOOKUP(C233,customers!$A$1:$A$1001,customers!$G$1:$G$1001,,0)</f>
        <v>United States</v>
      </c>
      <c r="I233" t="str">
        <f>INDEX(products!$A$1:$G$49,MATCH($D233,products!$A$1:$A$49,0),MATCH(I$1,products!$A$1:$G$1,0))</f>
        <v>Lib</v>
      </c>
      <c r="J233" t="str">
        <f>INDEX(products!$A$1:$G$49,MATCH($D233,products!$A$1:$A$49,0),MATCH(J$1,products!$A$1:$G$1,0))</f>
        <v>M</v>
      </c>
      <c r="K233" s="4">
        <f>INDEX(products!$A$1:$G$49,MATCH($D233,products!$A$1:$A$49,0),MATCH(K$1,products!$A$1:$G$1,0))</f>
        <v>0.2</v>
      </c>
      <c r="L233" s="5">
        <f>INDEX(products!$A$1:$G$49,MATCH($D233,products!$A$1:$A$49,0),MATCH(L$1,products!$A$1:$G$1,0))</f>
        <v>4.3650000000000002</v>
      </c>
      <c r="M233" s="5">
        <f t="shared" si="10"/>
        <v>8.73</v>
      </c>
      <c r="N233" t="str">
        <f t="shared" si="12"/>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INDEX(products!$A$1:$G$49,MATCH($D234,products!$A$1:$A$49,0),MATCH(I$1,products!$A$1:$G$1,0))</f>
        <v>Lib</v>
      </c>
      <c r="J234" t="str">
        <f>INDEX(products!$A$1:$G$49,MATCH($D234,products!$A$1:$A$49,0),MATCH(J$1,products!$A$1:$G$1,0))</f>
        <v>L</v>
      </c>
      <c r="K234" s="4">
        <f>INDEX(products!$A$1:$G$49,MATCH($D234,products!$A$1:$A$49,0),MATCH(K$1,products!$A$1:$G$1,0))</f>
        <v>0.2</v>
      </c>
      <c r="L234" s="5">
        <f>INDEX(products!$A$1:$G$49,MATCH($D234,products!$A$1:$A$49,0),MATCH(L$1,products!$A$1:$G$1,0))</f>
        <v>4.7549999999999999</v>
      </c>
      <c r="M234" s="5">
        <f t="shared" si="10"/>
        <v>23.774999999999999</v>
      </c>
      <c r="N234" t="str">
        <f t="shared" si="12"/>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INDEX(products!$A$1:$G$49,MATCH($D235,products!$A$1:$A$49,0),MATCH(I$1,products!$A$1:$G$1,0))</f>
        <v>Exc</v>
      </c>
      <c r="J235" t="str">
        <f>INDEX(products!$A$1:$G$49,MATCH($D235,products!$A$1:$A$49,0),MATCH(J$1,products!$A$1:$G$1,0))</f>
        <v>M</v>
      </c>
      <c r="K235" s="4">
        <f>INDEX(products!$A$1:$G$49,MATCH($D235,products!$A$1:$A$49,0),MATCH(K$1,products!$A$1:$G$1,0))</f>
        <v>0.2</v>
      </c>
      <c r="L235" s="5">
        <f>INDEX(products!$A$1:$G$49,MATCH($D235,products!$A$1:$A$49,0),MATCH(L$1,products!$A$1:$G$1,0))</f>
        <v>4.125</v>
      </c>
      <c r="M235" s="5">
        <f t="shared" si="10"/>
        <v>20.625</v>
      </c>
      <c r="N235" t="str">
        <f t="shared" si="12"/>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INDEX(products!$A$1:$G$49,MATCH($D236,products!$A$1:$A$49,0),MATCH(I$1,products!$A$1:$G$1,0))</f>
        <v>Lib</v>
      </c>
      <c r="J236" t="str">
        <f>INDEX(products!$A$1:$G$49,MATCH($D236,products!$A$1:$A$49,0),MATCH(J$1,products!$A$1:$G$1,0))</f>
        <v>L</v>
      </c>
      <c r="K236" s="4">
        <f>INDEX(products!$A$1:$G$49,MATCH($D236,products!$A$1:$A$49,0),MATCH(K$1,products!$A$1:$G$1,0))</f>
        <v>2.5</v>
      </c>
      <c r="L236" s="5">
        <f>INDEX(products!$A$1:$G$49,MATCH($D236,products!$A$1:$A$49,0),MATCH(L$1,products!$A$1:$G$1,0))</f>
        <v>36.454999999999998</v>
      </c>
      <c r="M236" s="5">
        <f t="shared" si="10"/>
        <v>36.454999999999998</v>
      </c>
      <c r="N236" t="str">
        <f t="shared" si="12"/>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f>
        <v>Samuele Ales0</v>
      </c>
      <c r="G237" s="2" t="str">
        <f>IF(_xlfn.XLOOKUP(C237,customers!$A$1:$A$1001,customers!$C$1:$C$1001,,0)=0,"",_xlfn.XLOOKUP(C237,customers!$A$1:$A$1001,customers!$C$1:$C$1001,,0))</f>
        <v/>
      </c>
      <c r="H237" s="2" t="str">
        <f>_xlfn.XLOOKUP(C237,customers!$A$1:$A$1001,customers!$G$1:$G$1001,,0)</f>
        <v>Ireland</v>
      </c>
      <c r="I237" t="str">
        <f>INDEX(products!$A$1:$G$49,MATCH($D237,products!$A$1:$A$49,0),MATCH(I$1,products!$A$1:$G$1,0))</f>
        <v>Lib</v>
      </c>
      <c r="J237" t="str">
        <f>INDEX(products!$A$1:$G$49,MATCH($D237,products!$A$1:$A$49,0),MATCH(J$1,products!$A$1:$G$1,0))</f>
        <v>L</v>
      </c>
      <c r="K237" s="4">
        <f>INDEX(products!$A$1:$G$49,MATCH($D237,products!$A$1:$A$49,0),MATCH(K$1,products!$A$1:$G$1,0))</f>
        <v>2.5</v>
      </c>
      <c r="L237" s="5">
        <f>INDEX(products!$A$1:$G$49,MATCH($D237,products!$A$1:$A$49,0),MATCH(L$1,products!$A$1:$G$1,0))</f>
        <v>36.454999999999998</v>
      </c>
      <c r="M237" s="5">
        <f t="shared" si="10"/>
        <v>182.27499999999998</v>
      </c>
      <c r="N237" t="str">
        <f t="shared" si="12"/>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INDEX(products!$A$1:$G$49,MATCH($D238,products!$A$1:$A$49,0),MATCH(I$1,products!$A$1:$G$1,0))</f>
        <v>Lib</v>
      </c>
      <c r="J238" t="str">
        <f>INDEX(products!$A$1:$G$49,MATCH($D238,products!$A$1:$A$49,0),MATCH(J$1,products!$A$1:$G$1,0))</f>
        <v>D</v>
      </c>
      <c r="K238" s="4">
        <f>INDEX(products!$A$1:$G$49,MATCH($D238,products!$A$1:$A$49,0),MATCH(K$1,products!$A$1:$G$1,0))</f>
        <v>2.5</v>
      </c>
      <c r="L238" s="5">
        <f>INDEX(products!$A$1:$G$49,MATCH($D238,products!$A$1:$A$49,0),MATCH(L$1,products!$A$1:$G$1,0))</f>
        <v>29.784999999999997</v>
      </c>
      <c r="M238" s="5">
        <f t="shared" si="10"/>
        <v>89.35499999999999</v>
      </c>
      <c r="N238" t="str">
        <f t="shared" si="12"/>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f>
        <v>Craggy Bril</v>
      </c>
      <c r="G239" s="2" t="str">
        <f>IF(_xlfn.XLOOKUP(C239,customers!$A$1:$A$1001,customers!$C$1:$C$1001,,0)=0,"",_xlfn.XLOOKUP(C239,customers!$A$1:$A$1001,customers!$C$1:$C$1001,,0))</f>
        <v/>
      </c>
      <c r="H239" s="2" t="str">
        <f>_xlfn.XLOOKUP(C239,customers!$A$1:$A$1001,customers!$G$1:$G$1001,,0)</f>
        <v>United States</v>
      </c>
      <c r="I239" t="str">
        <f>INDEX(products!$A$1:$G$49,MATCH($D239,products!$A$1:$A$49,0),MATCH(I$1,products!$A$1:$G$1,0))</f>
        <v>Rob</v>
      </c>
      <c r="J239" t="str">
        <f>INDEX(products!$A$1:$G$49,MATCH($D239,products!$A$1:$A$49,0),MATCH(J$1,products!$A$1:$G$1,0))</f>
        <v>L</v>
      </c>
      <c r="K239" s="4">
        <f>INDEX(products!$A$1:$G$49,MATCH($D239,products!$A$1:$A$49,0),MATCH(K$1,products!$A$1:$G$1,0))</f>
        <v>0.2</v>
      </c>
      <c r="L239" s="5">
        <f>INDEX(products!$A$1:$G$49,MATCH($D239,products!$A$1:$A$49,0),MATCH(L$1,products!$A$1:$G$1,0))</f>
        <v>3.5849999999999995</v>
      </c>
      <c r="M239" s="5">
        <f t="shared" si="10"/>
        <v>3.5849999999999995</v>
      </c>
      <c r="N239" t="str">
        <f t="shared" si="12"/>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INDEX(products!$A$1:$G$49,MATCH($D240,products!$A$1:$A$49,0),MATCH(I$1,products!$A$1:$G$1,0))</f>
        <v>Rob</v>
      </c>
      <c r="J240" t="str">
        <f>INDEX(products!$A$1:$G$49,MATCH($D240,products!$A$1:$A$49,0),MATCH(J$1,products!$A$1:$G$1,0))</f>
        <v>M</v>
      </c>
      <c r="K240" s="4">
        <f>INDEX(products!$A$1:$G$49,MATCH($D240,products!$A$1:$A$49,0),MATCH(K$1,products!$A$1:$G$1,0))</f>
        <v>2.5</v>
      </c>
      <c r="L240" s="5">
        <f>INDEX(products!$A$1:$G$49,MATCH($D240,products!$A$1:$A$49,0),MATCH(L$1,products!$A$1:$G$1,0))</f>
        <v>22.884999999999998</v>
      </c>
      <c r="M240" s="5">
        <f t="shared" si="10"/>
        <v>45.769999999999996</v>
      </c>
      <c r="N240" t="str">
        <f t="shared" si="12"/>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INDEX(products!$A$1:$G$49,MATCH($D241,products!$A$1:$A$49,0),MATCH(I$1,products!$A$1:$G$1,0))</f>
        <v>Exc</v>
      </c>
      <c r="J241" t="str">
        <f>INDEX(products!$A$1:$G$49,MATCH($D241,products!$A$1:$A$49,0),MATCH(J$1,products!$A$1:$G$1,0))</f>
        <v>L</v>
      </c>
      <c r="K241" s="4">
        <f>INDEX(products!$A$1:$G$49,MATCH($D241,products!$A$1:$A$49,0),MATCH(K$1,products!$A$1:$G$1,0))</f>
        <v>1</v>
      </c>
      <c r="L241" s="5">
        <f>INDEX(products!$A$1:$G$49,MATCH($D241,products!$A$1:$A$49,0),MATCH(L$1,products!$A$1:$G$1,0))</f>
        <v>14.85</v>
      </c>
      <c r="M241" s="5">
        <f t="shared" si="10"/>
        <v>59.4</v>
      </c>
      <c r="N241" t="str">
        <f t="shared" si="12"/>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f>
        <v>Codi Littrell</v>
      </c>
      <c r="G242" s="2" t="str">
        <f>IF(_xlfn.XLOOKUP(C242,customers!$A$1:$A$1001,customers!$C$1:$C$1001,,0)=0,"",_xlfn.XLOOKUP(C242,customers!$A$1:$A$1001,customers!$C$1:$C$1001,,0))</f>
        <v/>
      </c>
      <c r="H242" s="2" t="str">
        <f>_xlfn.XLOOKUP(C242,customers!$A$1:$A$1001,customers!$G$1:$G$1001,,0)</f>
        <v>United States</v>
      </c>
      <c r="I242" t="str">
        <f>INDEX(products!$A$1:$G$49,MATCH($D242,products!$A$1:$A$49,0),MATCH(I$1,products!$A$1:$G$1,0))</f>
        <v>Ara</v>
      </c>
      <c r="J242" t="str">
        <f>INDEX(products!$A$1:$G$49,MATCH($D242,products!$A$1:$A$49,0),MATCH(J$1,products!$A$1:$G$1,0))</f>
        <v>M</v>
      </c>
      <c r="K242" s="4">
        <f>INDEX(products!$A$1:$G$49,MATCH($D242,products!$A$1:$A$49,0),MATCH(K$1,products!$A$1:$G$1,0))</f>
        <v>2.5</v>
      </c>
      <c r="L242" s="5">
        <f>INDEX(products!$A$1:$G$49,MATCH($D242,products!$A$1:$A$49,0),MATCH(L$1,products!$A$1:$G$1,0))</f>
        <v>25.874999999999996</v>
      </c>
      <c r="M242" s="5">
        <f t="shared" si="10"/>
        <v>155.24999999999997</v>
      </c>
      <c r="N242" t="str">
        <f t="shared" si="12"/>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f>
        <v>Christel Speak</v>
      </c>
      <c r="G243" s="2" t="str">
        <f>IF(_xlfn.XLOOKUP(C243,customers!$A$1:$A$1001,customers!$C$1:$C$1001,,0)=0,"",_xlfn.XLOOKUP(C243,customers!$A$1:$A$1001,customers!$C$1:$C$1001,,0))</f>
        <v/>
      </c>
      <c r="H243" s="2" t="str">
        <f>_xlfn.XLOOKUP(C243,customers!$A$1:$A$1001,customers!$G$1:$G$1001,,0)</f>
        <v>United States</v>
      </c>
      <c r="I243" t="str">
        <f>INDEX(products!$A$1:$G$49,MATCH($D243,products!$A$1:$A$49,0),MATCH(I$1,products!$A$1:$G$1,0))</f>
        <v>Rob</v>
      </c>
      <c r="J243" t="str">
        <f>INDEX(products!$A$1:$G$49,MATCH($D243,products!$A$1:$A$49,0),MATCH(J$1,products!$A$1:$G$1,0))</f>
        <v>M</v>
      </c>
      <c r="K243" s="4">
        <f>INDEX(products!$A$1:$G$49,MATCH($D243,products!$A$1:$A$49,0),MATCH(K$1,products!$A$1:$G$1,0))</f>
        <v>2.5</v>
      </c>
      <c r="L243" s="5">
        <f>INDEX(products!$A$1:$G$49,MATCH($D243,products!$A$1:$A$49,0),MATCH(L$1,products!$A$1:$G$1,0))</f>
        <v>22.884999999999998</v>
      </c>
      <c r="M243" s="5">
        <f t="shared" si="10"/>
        <v>45.769999999999996</v>
      </c>
      <c r="N243" t="str">
        <f t="shared" si="12"/>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INDEX(products!$A$1:$G$49,MATCH($D244,products!$A$1:$A$49,0),MATCH(I$1,products!$A$1:$G$1,0))</f>
        <v>Exc</v>
      </c>
      <c r="J244" t="str">
        <f>INDEX(products!$A$1:$G$49,MATCH($D244,products!$A$1:$A$49,0),MATCH(J$1,products!$A$1:$G$1,0))</f>
        <v>D</v>
      </c>
      <c r="K244" s="4">
        <f>INDEX(products!$A$1:$G$49,MATCH($D244,products!$A$1:$A$49,0),MATCH(K$1,products!$A$1:$G$1,0))</f>
        <v>1</v>
      </c>
      <c r="L244" s="5">
        <f>INDEX(products!$A$1:$G$49,MATCH($D244,products!$A$1:$A$49,0),MATCH(L$1,products!$A$1:$G$1,0))</f>
        <v>12.15</v>
      </c>
      <c r="M244" s="5">
        <f t="shared" si="10"/>
        <v>36.450000000000003</v>
      </c>
      <c r="N244" t="str">
        <f t="shared" si="12"/>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INDEX(products!$A$1:$G$49,MATCH($D245,products!$A$1:$A$49,0),MATCH(I$1,products!$A$1:$G$1,0))</f>
        <v>Exc</v>
      </c>
      <c r="J245" t="str">
        <f>INDEX(products!$A$1:$G$49,MATCH($D245,products!$A$1:$A$49,0),MATCH(J$1,products!$A$1:$G$1,0))</f>
        <v>D</v>
      </c>
      <c r="K245" s="4">
        <f>INDEX(products!$A$1:$G$49,MATCH($D245,products!$A$1:$A$49,0),MATCH(K$1,products!$A$1:$G$1,0))</f>
        <v>0.5</v>
      </c>
      <c r="L245" s="5">
        <f>INDEX(products!$A$1:$G$49,MATCH($D245,products!$A$1:$A$49,0),MATCH(L$1,products!$A$1:$G$1,0))</f>
        <v>7.29</v>
      </c>
      <c r="M245" s="5">
        <f t="shared" si="10"/>
        <v>29.16</v>
      </c>
      <c r="N245" t="str">
        <f t="shared" si="12"/>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INDEX(products!$A$1:$G$49,MATCH($D246,products!$A$1:$A$49,0),MATCH(I$1,products!$A$1:$G$1,0))</f>
        <v>Lib</v>
      </c>
      <c r="J246" t="str">
        <f>INDEX(products!$A$1:$G$49,MATCH($D246,products!$A$1:$A$49,0),MATCH(J$1,products!$A$1:$G$1,0))</f>
        <v>M</v>
      </c>
      <c r="K246" s="4">
        <f>INDEX(products!$A$1:$G$49,MATCH($D246,products!$A$1:$A$49,0),MATCH(K$1,products!$A$1:$G$1,0))</f>
        <v>2.5</v>
      </c>
      <c r="L246" s="5">
        <f>INDEX(products!$A$1:$G$49,MATCH($D246,products!$A$1:$A$49,0),MATCH(L$1,products!$A$1:$G$1,0))</f>
        <v>33.464999999999996</v>
      </c>
      <c r="M246" s="5">
        <f t="shared" si="10"/>
        <v>133.85999999999999</v>
      </c>
      <c r="N246" t="str">
        <f t="shared" si="12"/>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INDEX(products!$A$1:$G$49,MATCH($D247,products!$A$1:$A$49,0),MATCH(I$1,products!$A$1:$G$1,0))</f>
        <v>Lib</v>
      </c>
      <c r="J247" t="str">
        <f>INDEX(products!$A$1:$G$49,MATCH($D247,products!$A$1:$A$49,0),MATCH(J$1,products!$A$1:$G$1,0))</f>
        <v>L</v>
      </c>
      <c r="K247" s="4">
        <f>INDEX(products!$A$1:$G$49,MATCH($D247,products!$A$1:$A$49,0),MATCH(K$1,products!$A$1:$G$1,0))</f>
        <v>0.2</v>
      </c>
      <c r="L247" s="5">
        <f>INDEX(products!$A$1:$G$49,MATCH($D247,products!$A$1:$A$49,0),MATCH(L$1,products!$A$1:$G$1,0))</f>
        <v>4.7549999999999999</v>
      </c>
      <c r="M247" s="5">
        <f t="shared" si="10"/>
        <v>23.774999999999999</v>
      </c>
      <c r="N247" t="str">
        <f t="shared" si="12"/>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INDEX(products!$A$1:$G$49,MATCH($D248,products!$A$1:$A$49,0),MATCH(I$1,products!$A$1:$G$1,0))</f>
        <v>Lib</v>
      </c>
      <c r="J248" t="str">
        <f>INDEX(products!$A$1:$G$49,MATCH($D248,products!$A$1:$A$49,0),MATCH(J$1,products!$A$1:$G$1,0))</f>
        <v>D</v>
      </c>
      <c r="K248" s="4">
        <f>INDEX(products!$A$1:$G$49,MATCH($D248,products!$A$1:$A$49,0),MATCH(K$1,products!$A$1:$G$1,0))</f>
        <v>1</v>
      </c>
      <c r="L248" s="5">
        <f>INDEX(products!$A$1:$G$49,MATCH($D248,products!$A$1:$A$49,0),MATCH(L$1,products!$A$1:$G$1,0))</f>
        <v>12.95</v>
      </c>
      <c r="M248" s="5">
        <f t="shared" si="10"/>
        <v>38.849999999999994</v>
      </c>
      <c r="N248" t="str">
        <f t="shared" si="12"/>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f>
        <v>Delmar Beasant</v>
      </c>
      <c r="G249" s="2" t="str">
        <f>IF(_xlfn.XLOOKUP(C249,customers!$A$1:$A$1001,customers!$C$1:$C$1001,,0)=0,"",_xlfn.XLOOKUP(C249,customers!$A$1:$A$1001,customers!$C$1:$C$1001,,0))</f>
        <v/>
      </c>
      <c r="H249" s="2" t="str">
        <f>_xlfn.XLOOKUP(C249,customers!$A$1:$A$1001,customers!$G$1:$G$1001,,0)</f>
        <v>Ireland</v>
      </c>
      <c r="I249" t="str">
        <f>INDEX(products!$A$1:$G$49,MATCH($D249,products!$A$1:$A$49,0),MATCH(I$1,products!$A$1:$G$1,0))</f>
        <v>Rob</v>
      </c>
      <c r="J249" t="str">
        <f>INDEX(products!$A$1:$G$49,MATCH($D249,products!$A$1:$A$49,0),MATCH(J$1,products!$A$1:$G$1,0))</f>
        <v>L</v>
      </c>
      <c r="K249" s="4">
        <f>INDEX(products!$A$1:$G$49,MATCH($D249,products!$A$1:$A$49,0),MATCH(K$1,products!$A$1:$G$1,0))</f>
        <v>0.2</v>
      </c>
      <c r="L249" s="5">
        <f>INDEX(products!$A$1:$G$49,MATCH($D249,products!$A$1:$A$49,0),MATCH(L$1,products!$A$1:$G$1,0))</f>
        <v>3.5849999999999995</v>
      </c>
      <c r="M249" s="5">
        <f t="shared" si="10"/>
        <v>21.509999999999998</v>
      </c>
      <c r="N249" t="str">
        <f t="shared" si="12"/>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INDEX(products!$A$1:$G$49,MATCH($D250,products!$A$1:$A$49,0),MATCH(I$1,products!$A$1:$G$1,0))</f>
        <v>Ara</v>
      </c>
      <c r="J250" t="str">
        <f>INDEX(products!$A$1:$G$49,MATCH($D250,products!$A$1:$A$49,0),MATCH(J$1,products!$A$1:$G$1,0))</f>
        <v>D</v>
      </c>
      <c r="K250" s="4">
        <f>INDEX(products!$A$1:$G$49,MATCH($D250,products!$A$1:$A$49,0),MATCH(K$1,products!$A$1:$G$1,0))</f>
        <v>1</v>
      </c>
      <c r="L250" s="5">
        <f>INDEX(products!$A$1:$G$49,MATCH($D250,products!$A$1:$A$49,0),MATCH(L$1,products!$A$1:$G$1,0))</f>
        <v>9.9499999999999993</v>
      </c>
      <c r="M250" s="5">
        <f t="shared" si="10"/>
        <v>9.9499999999999993</v>
      </c>
      <c r="N250" t="str">
        <f t="shared" si="12"/>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INDEX(products!$A$1:$G$49,MATCH($D251,products!$A$1:$A$49,0),MATCH(I$1,products!$A$1:$G$1,0))</f>
        <v>Lib</v>
      </c>
      <c r="J251" t="str">
        <f>INDEX(products!$A$1:$G$49,MATCH($D251,products!$A$1:$A$49,0),MATCH(J$1,products!$A$1:$G$1,0))</f>
        <v>L</v>
      </c>
      <c r="K251" s="4">
        <f>INDEX(products!$A$1:$G$49,MATCH($D251,products!$A$1:$A$49,0),MATCH(K$1,products!$A$1:$G$1,0))</f>
        <v>1</v>
      </c>
      <c r="L251" s="5">
        <f>INDEX(products!$A$1:$G$49,MATCH($D251,products!$A$1:$A$49,0),MATCH(L$1,products!$A$1:$G$1,0))</f>
        <v>15.85</v>
      </c>
      <c r="M251" s="5">
        <f t="shared" si="10"/>
        <v>15.85</v>
      </c>
      <c r="N251" t="str">
        <f t="shared" si="12"/>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INDEX(products!$A$1:$G$49,MATCH($D252,products!$A$1:$A$49,0),MATCH(I$1,products!$A$1:$G$1,0))</f>
        <v>Rob</v>
      </c>
      <c r="J252" t="str">
        <f>INDEX(products!$A$1:$G$49,MATCH($D252,products!$A$1:$A$49,0),MATCH(J$1,products!$A$1:$G$1,0))</f>
        <v>M</v>
      </c>
      <c r="K252" s="4">
        <f>INDEX(products!$A$1:$G$49,MATCH($D252,products!$A$1:$A$49,0),MATCH(K$1,products!$A$1:$G$1,0))</f>
        <v>0.2</v>
      </c>
      <c r="L252" s="5">
        <f>INDEX(products!$A$1:$G$49,MATCH($D252,products!$A$1:$A$49,0),MATCH(L$1,products!$A$1:$G$1,0))</f>
        <v>2.9849999999999999</v>
      </c>
      <c r="M252" s="5">
        <f t="shared" si="10"/>
        <v>2.9849999999999999</v>
      </c>
      <c r="N252" t="str">
        <f t="shared" si="12"/>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INDEX(products!$A$1:$G$49,MATCH($D253,products!$A$1:$A$49,0),MATCH(I$1,products!$A$1:$G$1,0))</f>
        <v>Exc</v>
      </c>
      <c r="J253" t="str">
        <f>INDEX(products!$A$1:$G$49,MATCH($D253,products!$A$1:$A$49,0),MATCH(J$1,products!$A$1:$G$1,0))</f>
        <v>M</v>
      </c>
      <c r="K253" s="4">
        <f>INDEX(products!$A$1:$G$49,MATCH($D253,products!$A$1:$A$49,0),MATCH(K$1,products!$A$1:$G$1,0))</f>
        <v>1</v>
      </c>
      <c r="L253" s="5">
        <f>INDEX(products!$A$1:$G$49,MATCH($D253,products!$A$1:$A$49,0),MATCH(L$1,products!$A$1:$G$1,0))</f>
        <v>13.75</v>
      </c>
      <c r="M253" s="5">
        <f t="shared" si="10"/>
        <v>68.75</v>
      </c>
      <c r="N253" t="str">
        <f t="shared" si="12"/>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f>
        <v>Devy Bulbrook</v>
      </c>
      <c r="G254" s="2" t="str">
        <f>IF(_xlfn.XLOOKUP(C254,customers!$A$1:$A$1001,customers!$C$1:$C$1001,,0)=0,"",_xlfn.XLOOKUP(C254,customers!$A$1:$A$1001,customers!$C$1:$C$1001,,0))</f>
        <v/>
      </c>
      <c r="H254" s="2" t="str">
        <f>_xlfn.XLOOKUP(C254,customers!$A$1:$A$1001,customers!$G$1:$G$1001,,0)</f>
        <v>United States</v>
      </c>
      <c r="I254" t="str">
        <f>INDEX(products!$A$1:$G$49,MATCH($D254,products!$A$1:$A$49,0),MATCH(I$1,products!$A$1:$G$1,0))</f>
        <v>Ara</v>
      </c>
      <c r="J254" t="str">
        <f>INDEX(products!$A$1:$G$49,MATCH($D254,products!$A$1:$A$49,0),MATCH(J$1,products!$A$1:$G$1,0))</f>
        <v>D</v>
      </c>
      <c r="K254" s="4">
        <f>INDEX(products!$A$1:$G$49,MATCH($D254,products!$A$1:$A$49,0),MATCH(K$1,products!$A$1:$G$1,0))</f>
        <v>1</v>
      </c>
      <c r="L254" s="5">
        <f>INDEX(products!$A$1:$G$49,MATCH($D254,products!$A$1:$A$49,0),MATCH(L$1,products!$A$1:$G$1,0))</f>
        <v>9.9499999999999993</v>
      </c>
      <c r="M254" s="5">
        <f t="shared" si="10"/>
        <v>29.849999999999998</v>
      </c>
      <c r="N254" t="str">
        <f t="shared" si="12"/>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INDEX(products!$A$1:$G$49,MATCH($D255,products!$A$1:$A$49,0),MATCH(I$1,products!$A$1:$G$1,0))</f>
        <v>Lib</v>
      </c>
      <c r="J255" t="str">
        <f>INDEX(products!$A$1:$G$49,MATCH($D255,products!$A$1:$A$49,0),MATCH(J$1,products!$A$1:$G$1,0))</f>
        <v>M</v>
      </c>
      <c r="K255" s="4">
        <f>INDEX(products!$A$1:$G$49,MATCH($D255,products!$A$1:$A$49,0),MATCH(K$1,products!$A$1:$G$1,0))</f>
        <v>1</v>
      </c>
      <c r="L255" s="5">
        <f>INDEX(products!$A$1:$G$49,MATCH($D255,products!$A$1:$A$49,0),MATCH(L$1,products!$A$1:$G$1,0))</f>
        <v>14.55</v>
      </c>
      <c r="M255" s="5">
        <f t="shared" si="10"/>
        <v>58.2</v>
      </c>
      <c r="N255" t="str">
        <f t="shared" si="12"/>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INDEX(products!$A$1:$G$49,MATCH($D256,products!$A$1:$A$49,0),MATCH(I$1,products!$A$1:$G$1,0))</f>
        <v>Rob</v>
      </c>
      <c r="J256" t="str">
        <f>INDEX(products!$A$1:$G$49,MATCH($D256,products!$A$1:$A$49,0),MATCH(J$1,products!$A$1:$G$1,0))</f>
        <v>L</v>
      </c>
      <c r="K256" s="4">
        <f>INDEX(products!$A$1:$G$49,MATCH($D256,products!$A$1:$A$49,0),MATCH(K$1,products!$A$1:$G$1,0))</f>
        <v>0.5</v>
      </c>
      <c r="L256" s="5">
        <f>INDEX(products!$A$1:$G$49,MATCH($D256,products!$A$1:$A$49,0),MATCH(L$1,products!$A$1:$G$1,0))</f>
        <v>7.169999999999999</v>
      </c>
      <c r="M256" s="5">
        <f t="shared" si="10"/>
        <v>28.679999999999996</v>
      </c>
      <c r="N256" t="str">
        <f t="shared" si="12"/>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INDEX(products!$A$1:$G$49,MATCH($D257,products!$A$1:$A$49,0),MATCH(I$1,products!$A$1:$G$1,0))</f>
        <v>Rob</v>
      </c>
      <c r="J257" t="str">
        <f>INDEX(products!$A$1:$G$49,MATCH($D257,products!$A$1:$A$49,0),MATCH(J$1,products!$A$1:$G$1,0))</f>
        <v>L</v>
      </c>
      <c r="K257" s="4">
        <f>INDEX(products!$A$1:$G$49,MATCH($D257,products!$A$1:$A$49,0),MATCH(K$1,products!$A$1:$G$1,0))</f>
        <v>0.5</v>
      </c>
      <c r="L257" s="5">
        <f>INDEX(products!$A$1:$G$49,MATCH($D257,products!$A$1:$A$49,0),MATCH(L$1,products!$A$1:$G$1,0))</f>
        <v>7.169999999999999</v>
      </c>
      <c r="M257" s="5">
        <f t="shared" si="10"/>
        <v>21.509999999999998</v>
      </c>
      <c r="N257" t="str">
        <f t="shared" si="12"/>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INDEX(products!$A$1:$G$49,MATCH($D258,products!$A$1:$A$49,0),MATCH(I$1,products!$A$1:$G$1,0))</f>
        <v>Lib</v>
      </c>
      <c r="J258" t="str">
        <f>INDEX(products!$A$1:$G$49,MATCH($D258,products!$A$1:$A$49,0),MATCH(J$1,products!$A$1:$G$1,0))</f>
        <v>M</v>
      </c>
      <c r="K258" s="4">
        <f>INDEX(products!$A$1:$G$49,MATCH($D258,products!$A$1:$A$49,0),MATCH(K$1,products!$A$1:$G$1,0))</f>
        <v>0.5</v>
      </c>
      <c r="L258" s="5">
        <f>INDEX(products!$A$1:$G$49,MATCH($D258,products!$A$1:$A$49,0),MATCH(L$1,products!$A$1:$G$1,0))</f>
        <v>8.73</v>
      </c>
      <c r="M258" s="5">
        <f t="shared" si="10"/>
        <v>17.46</v>
      </c>
      <c r="N258" t="str">
        <f t="shared" si="12"/>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INDEX(products!$A$1:$G$49,MATCH($D259,products!$A$1:$A$49,0),MATCH(I$1,products!$A$1:$G$1,0))</f>
        <v>Exc</v>
      </c>
      <c r="J259" t="str">
        <f>INDEX(products!$A$1:$G$49,MATCH($D259,products!$A$1:$A$49,0),MATCH(J$1,products!$A$1:$G$1,0))</f>
        <v>D</v>
      </c>
      <c r="K259" s="4">
        <f>INDEX(products!$A$1:$G$49,MATCH($D259,products!$A$1:$A$49,0),MATCH(K$1,products!$A$1:$G$1,0))</f>
        <v>2.5</v>
      </c>
      <c r="L259" s="5">
        <f>INDEX(products!$A$1:$G$49,MATCH($D259,products!$A$1:$A$49,0),MATCH(L$1,products!$A$1:$G$1,0))</f>
        <v>27.945</v>
      </c>
      <c r="M259" s="5">
        <f t="shared" ref="M259:M322" si="13">L259*E259</f>
        <v>27.945</v>
      </c>
      <c r="N259" t="str">
        <f t="shared" si="12"/>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INDEX(products!$A$1:$G$49,MATCH($D260,products!$A$1:$A$49,0),MATCH(I$1,products!$A$1:$G$1,0))</f>
        <v>Exc</v>
      </c>
      <c r="J260" t="str">
        <f>INDEX(products!$A$1:$G$49,MATCH($D260,products!$A$1:$A$49,0),MATCH(J$1,products!$A$1:$G$1,0))</f>
        <v>D</v>
      </c>
      <c r="K260" s="4">
        <f>INDEX(products!$A$1:$G$49,MATCH($D260,products!$A$1:$A$49,0),MATCH(K$1,products!$A$1:$G$1,0))</f>
        <v>2.5</v>
      </c>
      <c r="L260" s="5">
        <f>INDEX(products!$A$1:$G$49,MATCH($D260,products!$A$1:$A$49,0),MATCH(L$1,products!$A$1:$G$1,0))</f>
        <v>27.945</v>
      </c>
      <c r="M260" s="5">
        <f t="shared" si="13"/>
        <v>139.72499999999999</v>
      </c>
      <c r="N260" t="str">
        <f t="shared" si="12"/>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f>
        <v>Irv Hay</v>
      </c>
      <c r="G261" s="2" t="str">
        <f>IF(_xlfn.XLOOKUP(C261,customers!$A$1:$A$1001,customers!$C$1:$C$1001,,0)=0,"",_xlfn.XLOOKUP(C261,customers!$A$1:$A$1001,customers!$C$1:$C$1001,,0))</f>
        <v>ihay77@lulu.com</v>
      </c>
      <c r="H261" s="2" t="str">
        <f>_xlfn.XLOOKUP(C261,customers!$A$1:$A$1001,customers!$G$1:$G$1001,,0)</f>
        <v>United Kingdom</v>
      </c>
      <c r="I261" t="str">
        <f>INDEX(products!$A$1:$G$49,MATCH($D261,products!$A$1:$A$49,0),MATCH(I$1,products!$A$1:$G$1,0))</f>
        <v>Rob</v>
      </c>
      <c r="J261" t="str">
        <f>INDEX(products!$A$1:$G$49,MATCH($D261,products!$A$1:$A$49,0),MATCH(J$1,products!$A$1:$G$1,0))</f>
        <v>M</v>
      </c>
      <c r="K261" s="4">
        <f>INDEX(products!$A$1:$G$49,MATCH($D261,products!$A$1:$A$49,0),MATCH(K$1,products!$A$1:$G$1,0))</f>
        <v>0.2</v>
      </c>
      <c r="L261" s="5">
        <f>INDEX(products!$A$1:$G$49,MATCH($D261,products!$A$1:$A$49,0),MATCH(L$1,products!$A$1:$G$1,0))</f>
        <v>2.9849999999999999</v>
      </c>
      <c r="M261" s="5">
        <f t="shared" si="13"/>
        <v>5.97</v>
      </c>
      <c r="N261" t="str">
        <f t="shared" si="12"/>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INDEX(products!$A$1:$G$49,MATCH($D262,products!$A$1:$A$49,0),MATCH(I$1,products!$A$1:$G$1,0))</f>
        <v>Rob</v>
      </c>
      <c r="J262" t="str">
        <f>INDEX(products!$A$1:$G$49,MATCH($D262,products!$A$1:$A$49,0),MATCH(J$1,products!$A$1:$G$1,0))</f>
        <v>L</v>
      </c>
      <c r="K262" s="4">
        <f>INDEX(products!$A$1:$G$49,MATCH($D262,products!$A$1:$A$49,0),MATCH(K$1,products!$A$1:$G$1,0))</f>
        <v>2.5</v>
      </c>
      <c r="L262" s="5">
        <f>INDEX(products!$A$1:$G$49,MATCH($D262,products!$A$1:$A$49,0),MATCH(L$1,products!$A$1:$G$1,0))</f>
        <v>27.484999999999996</v>
      </c>
      <c r="M262" s="5">
        <f t="shared" si="13"/>
        <v>27.484999999999996</v>
      </c>
      <c r="N262" t="str">
        <f t="shared" si="12"/>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INDEX(products!$A$1:$G$49,MATCH($D263,products!$A$1:$A$49,0),MATCH(I$1,products!$A$1:$G$1,0))</f>
        <v>Rob</v>
      </c>
      <c r="J263" t="str">
        <f>INDEX(products!$A$1:$G$49,MATCH($D263,products!$A$1:$A$49,0),MATCH(J$1,products!$A$1:$G$1,0))</f>
        <v>L</v>
      </c>
      <c r="K263" s="4">
        <f>INDEX(products!$A$1:$G$49,MATCH($D263,products!$A$1:$A$49,0),MATCH(K$1,products!$A$1:$G$1,0))</f>
        <v>1</v>
      </c>
      <c r="L263" s="5">
        <f>INDEX(products!$A$1:$G$49,MATCH($D263,products!$A$1:$A$49,0),MATCH(L$1,products!$A$1:$G$1,0))</f>
        <v>11.95</v>
      </c>
      <c r="M263" s="5">
        <f t="shared" si="13"/>
        <v>59.75</v>
      </c>
      <c r="N263" t="str">
        <f t="shared" ref="N263:N326" si="15">IF(I263="Rob","Robusta",IF(I263="Ara","Arabica",IF(I263="Exc","Excelsa",IF(I263="Lib","Liberica",""))))</f>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INDEX(products!$A$1:$G$49,MATCH($D264,products!$A$1:$A$49,0),MATCH(I$1,products!$A$1:$G$1,0))</f>
        <v>Exc</v>
      </c>
      <c r="J264" t="str">
        <f>INDEX(products!$A$1:$G$49,MATCH($D264,products!$A$1:$A$49,0),MATCH(J$1,products!$A$1:$G$1,0))</f>
        <v>M</v>
      </c>
      <c r="K264" s="4">
        <f>INDEX(products!$A$1:$G$49,MATCH($D264,products!$A$1:$A$49,0),MATCH(K$1,products!$A$1:$G$1,0))</f>
        <v>1</v>
      </c>
      <c r="L264" s="5">
        <f>INDEX(products!$A$1:$G$49,MATCH($D264,products!$A$1:$A$49,0),MATCH(L$1,products!$A$1:$G$1,0))</f>
        <v>13.75</v>
      </c>
      <c r="M264" s="5">
        <f t="shared" si="13"/>
        <v>41.25</v>
      </c>
      <c r="N264" t="str">
        <f t="shared" si="15"/>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f>
        <v>Mar McIver</v>
      </c>
      <c r="G265" s="2" t="str">
        <f>IF(_xlfn.XLOOKUP(C265,customers!$A$1:$A$1001,customers!$C$1:$C$1001,,0)=0,"",_xlfn.XLOOKUP(C265,customers!$A$1:$A$1001,customers!$C$1:$C$1001,,0))</f>
        <v/>
      </c>
      <c r="H265" s="2" t="str">
        <f>_xlfn.XLOOKUP(C265,customers!$A$1:$A$1001,customers!$G$1:$G$1001,,0)</f>
        <v>United States</v>
      </c>
      <c r="I265" t="str">
        <f>INDEX(products!$A$1:$G$49,MATCH($D265,products!$A$1:$A$49,0),MATCH(I$1,products!$A$1:$G$1,0))</f>
        <v>Lib</v>
      </c>
      <c r="J265" t="str">
        <f>INDEX(products!$A$1:$G$49,MATCH($D265,products!$A$1:$A$49,0),MATCH(J$1,products!$A$1:$G$1,0))</f>
        <v>M</v>
      </c>
      <c r="K265" s="4">
        <f>INDEX(products!$A$1:$G$49,MATCH($D265,products!$A$1:$A$49,0),MATCH(K$1,products!$A$1:$G$1,0))</f>
        <v>2.5</v>
      </c>
      <c r="L265" s="5">
        <f>INDEX(products!$A$1:$G$49,MATCH($D265,products!$A$1:$A$49,0),MATCH(L$1,products!$A$1:$G$1,0))</f>
        <v>33.464999999999996</v>
      </c>
      <c r="M265" s="5">
        <f t="shared" si="13"/>
        <v>133.85999999999999</v>
      </c>
      <c r="N265" t="str">
        <f t="shared" si="15"/>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f>
        <v>Arabella Fransewich</v>
      </c>
      <c r="G266" s="2" t="str">
        <f>IF(_xlfn.XLOOKUP(C266,customers!$A$1:$A$1001,customers!$C$1:$C$1001,,0)=0,"",_xlfn.XLOOKUP(C266,customers!$A$1:$A$1001,customers!$C$1:$C$1001,,0))</f>
        <v/>
      </c>
      <c r="H266" s="2" t="str">
        <f>_xlfn.XLOOKUP(C266,customers!$A$1:$A$1001,customers!$G$1:$G$1001,,0)</f>
        <v>Ireland</v>
      </c>
      <c r="I266" t="str">
        <f>INDEX(products!$A$1:$G$49,MATCH($D266,products!$A$1:$A$49,0),MATCH(I$1,products!$A$1:$G$1,0))</f>
        <v>Rob</v>
      </c>
      <c r="J266" t="str">
        <f>INDEX(products!$A$1:$G$49,MATCH($D266,products!$A$1:$A$49,0),MATCH(J$1,products!$A$1:$G$1,0))</f>
        <v>L</v>
      </c>
      <c r="K266" s="4">
        <f>INDEX(products!$A$1:$G$49,MATCH($D266,products!$A$1:$A$49,0),MATCH(K$1,products!$A$1:$G$1,0))</f>
        <v>1</v>
      </c>
      <c r="L266" s="5">
        <f>INDEX(products!$A$1:$G$49,MATCH($D266,products!$A$1:$A$49,0),MATCH(L$1,products!$A$1:$G$1,0))</f>
        <v>11.95</v>
      </c>
      <c r="M266" s="5">
        <f t="shared" si="13"/>
        <v>59.75</v>
      </c>
      <c r="N266" t="str">
        <f t="shared" si="15"/>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INDEX(products!$A$1:$G$49,MATCH($D267,products!$A$1:$A$49,0),MATCH(I$1,products!$A$1:$G$1,0))</f>
        <v>Ara</v>
      </c>
      <c r="J267" t="str">
        <f>INDEX(products!$A$1:$G$49,MATCH($D267,products!$A$1:$A$49,0),MATCH(J$1,products!$A$1:$G$1,0))</f>
        <v>D</v>
      </c>
      <c r="K267" s="4">
        <f>INDEX(products!$A$1:$G$49,MATCH($D267,products!$A$1:$A$49,0),MATCH(K$1,products!$A$1:$G$1,0))</f>
        <v>0.5</v>
      </c>
      <c r="L267" s="5">
        <f>INDEX(products!$A$1:$G$49,MATCH($D267,products!$A$1:$A$49,0),MATCH(L$1,products!$A$1:$G$1,0))</f>
        <v>5.97</v>
      </c>
      <c r="M267" s="5">
        <f t="shared" si="13"/>
        <v>5.97</v>
      </c>
      <c r="N267" t="str">
        <f t="shared" si="15"/>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INDEX(products!$A$1:$G$49,MATCH($D268,products!$A$1:$A$49,0),MATCH(I$1,products!$A$1:$G$1,0))</f>
        <v>Exc</v>
      </c>
      <c r="J268" t="str">
        <f>INDEX(products!$A$1:$G$49,MATCH($D268,products!$A$1:$A$49,0),MATCH(J$1,products!$A$1:$G$1,0))</f>
        <v>D</v>
      </c>
      <c r="K268" s="4">
        <f>INDEX(products!$A$1:$G$49,MATCH($D268,products!$A$1:$A$49,0),MATCH(K$1,products!$A$1:$G$1,0))</f>
        <v>1</v>
      </c>
      <c r="L268" s="5">
        <f>INDEX(products!$A$1:$G$49,MATCH($D268,products!$A$1:$A$49,0),MATCH(L$1,products!$A$1:$G$1,0))</f>
        <v>12.15</v>
      </c>
      <c r="M268" s="5">
        <f t="shared" si="13"/>
        <v>24.3</v>
      </c>
      <c r="N268" t="str">
        <f t="shared" si="15"/>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INDEX(products!$A$1:$G$49,MATCH($D269,products!$A$1:$A$49,0),MATCH(I$1,products!$A$1:$G$1,0))</f>
        <v>Exc</v>
      </c>
      <c r="J269" t="str">
        <f>INDEX(products!$A$1:$G$49,MATCH($D269,products!$A$1:$A$49,0),MATCH(J$1,products!$A$1:$G$1,0))</f>
        <v>D</v>
      </c>
      <c r="K269" s="4">
        <f>INDEX(products!$A$1:$G$49,MATCH($D269,products!$A$1:$A$49,0),MATCH(K$1,products!$A$1:$G$1,0))</f>
        <v>0.2</v>
      </c>
      <c r="L269" s="5">
        <f>INDEX(products!$A$1:$G$49,MATCH($D269,products!$A$1:$A$49,0),MATCH(L$1,products!$A$1:$G$1,0))</f>
        <v>3.645</v>
      </c>
      <c r="M269" s="5">
        <f t="shared" si="13"/>
        <v>21.87</v>
      </c>
      <c r="N269" t="str">
        <f t="shared" si="15"/>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INDEX(products!$A$1:$G$49,MATCH($D270,products!$A$1:$A$49,0),MATCH(I$1,products!$A$1:$G$1,0))</f>
        <v>Ara</v>
      </c>
      <c r="J270" t="str">
        <f>INDEX(products!$A$1:$G$49,MATCH($D270,products!$A$1:$A$49,0),MATCH(J$1,products!$A$1:$G$1,0))</f>
        <v>D</v>
      </c>
      <c r="K270" s="4">
        <f>INDEX(products!$A$1:$G$49,MATCH($D270,products!$A$1:$A$49,0),MATCH(K$1,products!$A$1:$G$1,0))</f>
        <v>1</v>
      </c>
      <c r="L270" s="5">
        <f>INDEX(products!$A$1:$G$49,MATCH($D270,products!$A$1:$A$49,0),MATCH(L$1,products!$A$1:$G$1,0))</f>
        <v>9.9499999999999993</v>
      </c>
      <c r="M270" s="5">
        <f t="shared" si="13"/>
        <v>19.899999999999999</v>
      </c>
      <c r="N270" t="str">
        <f t="shared" si="15"/>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INDEX(products!$A$1:$G$49,MATCH($D271,products!$A$1:$A$49,0),MATCH(I$1,products!$A$1:$G$1,0))</f>
        <v>Ara</v>
      </c>
      <c r="J271" t="str">
        <f>INDEX(products!$A$1:$G$49,MATCH($D271,products!$A$1:$A$49,0),MATCH(J$1,products!$A$1:$G$1,0))</f>
        <v>D</v>
      </c>
      <c r="K271" s="4">
        <f>INDEX(products!$A$1:$G$49,MATCH($D271,products!$A$1:$A$49,0),MATCH(K$1,products!$A$1:$G$1,0))</f>
        <v>0.2</v>
      </c>
      <c r="L271" s="5">
        <f>INDEX(products!$A$1:$G$49,MATCH($D271,products!$A$1:$A$49,0),MATCH(L$1,products!$A$1:$G$1,0))</f>
        <v>2.9849999999999999</v>
      </c>
      <c r="M271" s="5">
        <f t="shared" si="13"/>
        <v>5.97</v>
      </c>
      <c r="N271" t="str">
        <f t="shared" si="15"/>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f>
        <v>Barney Chisnell</v>
      </c>
      <c r="G272" s="2" t="str">
        <f>IF(_xlfn.XLOOKUP(C272,customers!$A$1:$A$1001,customers!$C$1:$C$1001,,0)=0,"",_xlfn.XLOOKUP(C272,customers!$A$1:$A$1001,customers!$C$1:$C$1001,,0))</f>
        <v/>
      </c>
      <c r="H272" s="2" t="str">
        <f>_xlfn.XLOOKUP(C272,customers!$A$1:$A$1001,customers!$G$1:$G$1001,,0)</f>
        <v>Ireland</v>
      </c>
      <c r="I272" t="str">
        <f>INDEX(products!$A$1:$G$49,MATCH($D272,products!$A$1:$A$49,0),MATCH(I$1,products!$A$1:$G$1,0))</f>
        <v>Exc</v>
      </c>
      <c r="J272" t="str">
        <f>INDEX(products!$A$1:$G$49,MATCH($D272,products!$A$1:$A$49,0),MATCH(J$1,products!$A$1:$G$1,0))</f>
        <v>D</v>
      </c>
      <c r="K272" s="4">
        <f>INDEX(products!$A$1:$G$49,MATCH($D272,products!$A$1:$A$49,0),MATCH(K$1,products!$A$1:$G$1,0))</f>
        <v>0.5</v>
      </c>
      <c r="L272" s="5">
        <f>INDEX(products!$A$1:$G$49,MATCH($D272,products!$A$1:$A$49,0),MATCH(L$1,products!$A$1:$G$1,0))</f>
        <v>7.29</v>
      </c>
      <c r="M272" s="5">
        <f t="shared" si="13"/>
        <v>7.29</v>
      </c>
      <c r="N272" t="str">
        <f t="shared" si="15"/>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INDEX(products!$A$1:$G$49,MATCH($D273,products!$A$1:$A$49,0),MATCH(I$1,products!$A$1:$G$1,0))</f>
        <v>Ara</v>
      </c>
      <c r="J273" t="str">
        <f>INDEX(products!$A$1:$G$49,MATCH($D273,products!$A$1:$A$49,0),MATCH(J$1,products!$A$1:$G$1,0))</f>
        <v>D</v>
      </c>
      <c r="K273" s="4">
        <f>INDEX(products!$A$1:$G$49,MATCH($D273,products!$A$1:$A$49,0),MATCH(K$1,products!$A$1:$G$1,0))</f>
        <v>0.2</v>
      </c>
      <c r="L273" s="5">
        <f>INDEX(products!$A$1:$G$49,MATCH($D273,products!$A$1:$A$49,0),MATCH(L$1,products!$A$1:$G$1,0))</f>
        <v>2.9849999999999999</v>
      </c>
      <c r="M273" s="5">
        <f t="shared" si="13"/>
        <v>11.94</v>
      </c>
      <c r="N273" t="str">
        <f t="shared" si="15"/>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INDEX(products!$A$1:$G$49,MATCH($D274,products!$A$1:$A$49,0),MATCH(I$1,products!$A$1:$G$1,0))</f>
        <v>Rob</v>
      </c>
      <c r="J274" t="str">
        <f>INDEX(products!$A$1:$G$49,MATCH($D274,products!$A$1:$A$49,0),MATCH(J$1,products!$A$1:$G$1,0))</f>
        <v>L</v>
      </c>
      <c r="K274" s="4">
        <f>INDEX(products!$A$1:$G$49,MATCH($D274,products!$A$1:$A$49,0),MATCH(K$1,products!$A$1:$G$1,0))</f>
        <v>1</v>
      </c>
      <c r="L274" s="5">
        <f>INDEX(products!$A$1:$G$49,MATCH($D274,products!$A$1:$A$49,0),MATCH(L$1,products!$A$1:$G$1,0))</f>
        <v>11.95</v>
      </c>
      <c r="M274" s="5">
        <f t="shared" si="13"/>
        <v>71.699999999999989</v>
      </c>
      <c r="N274" t="str">
        <f t="shared" si="15"/>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INDEX(products!$A$1:$G$49,MATCH($D275,products!$A$1:$A$49,0),MATCH(I$1,products!$A$1:$G$1,0))</f>
        <v>Ara</v>
      </c>
      <c r="J275" t="str">
        <f>INDEX(products!$A$1:$G$49,MATCH($D275,products!$A$1:$A$49,0),MATCH(J$1,products!$A$1:$G$1,0))</f>
        <v>L</v>
      </c>
      <c r="K275" s="4">
        <f>INDEX(products!$A$1:$G$49,MATCH($D275,products!$A$1:$A$49,0),MATCH(K$1,products!$A$1:$G$1,0))</f>
        <v>0.2</v>
      </c>
      <c r="L275" s="5">
        <f>INDEX(products!$A$1:$G$49,MATCH($D275,products!$A$1:$A$49,0),MATCH(L$1,products!$A$1:$G$1,0))</f>
        <v>3.8849999999999998</v>
      </c>
      <c r="M275" s="5">
        <f t="shared" si="13"/>
        <v>7.77</v>
      </c>
      <c r="N275" t="str">
        <f t="shared" si="15"/>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INDEX(products!$A$1:$G$49,MATCH($D276,products!$A$1:$A$49,0),MATCH(I$1,products!$A$1:$G$1,0))</f>
        <v>Ara</v>
      </c>
      <c r="J276" t="str">
        <f>INDEX(products!$A$1:$G$49,MATCH($D276,products!$A$1:$A$49,0),MATCH(J$1,products!$A$1:$G$1,0))</f>
        <v>M</v>
      </c>
      <c r="K276" s="4">
        <f>INDEX(products!$A$1:$G$49,MATCH($D276,products!$A$1:$A$49,0),MATCH(K$1,products!$A$1:$G$1,0))</f>
        <v>2.5</v>
      </c>
      <c r="L276" s="5">
        <f>INDEX(products!$A$1:$G$49,MATCH($D276,products!$A$1:$A$49,0),MATCH(L$1,products!$A$1:$G$1,0))</f>
        <v>25.874999999999996</v>
      </c>
      <c r="M276" s="5">
        <f t="shared" si="13"/>
        <v>25.874999999999996</v>
      </c>
      <c r="N276" t="str">
        <f t="shared" si="15"/>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INDEX(products!$A$1:$G$49,MATCH($D277,products!$A$1:$A$49,0),MATCH(I$1,products!$A$1:$G$1,0))</f>
        <v>Exc</v>
      </c>
      <c r="J277" t="str">
        <f>INDEX(products!$A$1:$G$49,MATCH($D277,products!$A$1:$A$49,0),MATCH(J$1,products!$A$1:$G$1,0))</f>
        <v>L</v>
      </c>
      <c r="K277" s="4">
        <f>INDEX(products!$A$1:$G$49,MATCH($D277,products!$A$1:$A$49,0),MATCH(K$1,products!$A$1:$G$1,0))</f>
        <v>2.5</v>
      </c>
      <c r="L277" s="5">
        <f>INDEX(products!$A$1:$G$49,MATCH($D277,products!$A$1:$A$49,0),MATCH(L$1,products!$A$1:$G$1,0))</f>
        <v>34.154999999999994</v>
      </c>
      <c r="M277" s="5">
        <f t="shared" si="13"/>
        <v>204.92999999999995</v>
      </c>
      <c r="N277" t="str">
        <f t="shared" si="15"/>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f>
        <v>Dorelia Bury</v>
      </c>
      <c r="G278" s="2" t="str">
        <f>IF(_xlfn.XLOOKUP(C278,customers!$A$1:$A$1001,customers!$C$1:$C$1001,,0)=0,"",_xlfn.XLOOKUP(C278,customers!$A$1:$A$1001,customers!$C$1:$C$1001,,0))</f>
        <v>dbury7o@tinyurl.com</v>
      </c>
      <c r="H278" s="2" t="str">
        <f>_xlfn.XLOOKUP(C278,customers!$A$1:$A$1001,customers!$G$1:$G$1001,,0)</f>
        <v>Ireland</v>
      </c>
      <c r="I278" t="str">
        <f>INDEX(products!$A$1:$G$49,MATCH($D278,products!$A$1:$A$49,0),MATCH(I$1,products!$A$1:$G$1,0))</f>
        <v>Rob</v>
      </c>
      <c r="J278" t="str">
        <f>INDEX(products!$A$1:$G$49,MATCH($D278,products!$A$1:$A$49,0),MATCH(J$1,products!$A$1:$G$1,0))</f>
        <v>L</v>
      </c>
      <c r="K278" s="4">
        <f>INDEX(products!$A$1:$G$49,MATCH($D278,products!$A$1:$A$49,0),MATCH(K$1,products!$A$1:$G$1,0))</f>
        <v>2.5</v>
      </c>
      <c r="L278" s="5">
        <f>INDEX(products!$A$1:$G$49,MATCH($D278,products!$A$1:$A$49,0),MATCH(L$1,products!$A$1:$G$1,0))</f>
        <v>27.484999999999996</v>
      </c>
      <c r="M278" s="5">
        <f t="shared" si="13"/>
        <v>109.93999999999998</v>
      </c>
      <c r="N278" t="str">
        <f t="shared" si="15"/>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INDEX(products!$A$1:$G$49,MATCH($D279,products!$A$1:$A$49,0),MATCH(I$1,products!$A$1:$G$1,0))</f>
        <v>Exc</v>
      </c>
      <c r="J279" t="str">
        <f>INDEX(products!$A$1:$G$49,MATCH($D279,products!$A$1:$A$49,0),MATCH(J$1,products!$A$1:$G$1,0))</f>
        <v>L</v>
      </c>
      <c r="K279" s="4">
        <f>INDEX(products!$A$1:$G$49,MATCH($D279,products!$A$1:$A$49,0),MATCH(K$1,products!$A$1:$G$1,0))</f>
        <v>1</v>
      </c>
      <c r="L279" s="5">
        <f>INDEX(products!$A$1:$G$49,MATCH($D279,products!$A$1:$A$49,0),MATCH(L$1,products!$A$1:$G$1,0))</f>
        <v>14.85</v>
      </c>
      <c r="M279" s="5">
        <f t="shared" si="13"/>
        <v>89.1</v>
      </c>
      <c r="N279" t="str">
        <f t="shared" si="15"/>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INDEX(products!$A$1:$G$49,MATCH($D280,products!$A$1:$A$49,0),MATCH(I$1,products!$A$1:$G$1,0))</f>
        <v>Ara</v>
      </c>
      <c r="J280" t="str">
        <f>INDEX(products!$A$1:$G$49,MATCH($D280,products!$A$1:$A$49,0),MATCH(J$1,products!$A$1:$G$1,0))</f>
        <v>L</v>
      </c>
      <c r="K280" s="4">
        <f>INDEX(products!$A$1:$G$49,MATCH($D280,products!$A$1:$A$49,0),MATCH(K$1,products!$A$1:$G$1,0))</f>
        <v>0.2</v>
      </c>
      <c r="L280" s="5">
        <f>INDEX(products!$A$1:$G$49,MATCH($D280,products!$A$1:$A$49,0),MATCH(L$1,products!$A$1:$G$1,0))</f>
        <v>3.8849999999999998</v>
      </c>
      <c r="M280" s="5">
        <f t="shared" si="13"/>
        <v>7.77</v>
      </c>
      <c r="N280" t="str">
        <f t="shared" si="15"/>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INDEX(products!$A$1:$G$49,MATCH($D281,products!$A$1:$A$49,0),MATCH(I$1,products!$A$1:$G$1,0))</f>
        <v>Lib</v>
      </c>
      <c r="J281" t="str">
        <f>INDEX(products!$A$1:$G$49,MATCH($D281,products!$A$1:$A$49,0),MATCH(J$1,products!$A$1:$G$1,0))</f>
        <v>M</v>
      </c>
      <c r="K281" s="4">
        <f>INDEX(products!$A$1:$G$49,MATCH($D281,products!$A$1:$A$49,0),MATCH(K$1,products!$A$1:$G$1,0))</f>
        <v>2.5</v>
      </c>
      <c r="L281" s="5">
        <f>INDEX(products!$A$1:$G$49,MATCH($D281,products!$A$1:$A$49,0),MATCH(L$1,products!$A$1:$G$1,0))</f>
        <v>33.464999999999996</v>
      </c>
      <c r="M281" s="5">
        <f t="shared" si="13"/>
        <v>33.464999999999996</v>
      </c>
      <c r="N281" t="str">
        <f t="shared" si="15"/>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f>
        <v>Christopher Grieveson</v>
      </c>
      <c r="G282" s="2" t="str">
        <f>IF(_xlfn.XLOOKUP(C282,customers!$A$1:$A$1001,customers!$C$1:$C$1001,,0)=0,"",_xlfn.XLOOKUP(C282,customers!$A$1:$A$1001,customers!$C$1:$C$1001,,0))</f>
        <v/>
      </c>
      <c r="H282" s="2" t="str">
        <f>_xlfn.XLOOKUP(C282,customers!$A$1:$A$1001,customers!$G$1:$G$1001,,0)</f>
        <v>United States</v>
      </c>
      <c r="I282" t="str">
        <f>INDEX(products!$A$1:$G$49,MATCH($D282,products!$A$1:$A$49,0),MATCH(I$1,products!$A$1:$G$1,0))</f>
        <v>Exc</v>
      </c>
      <c r="J282" t="str">
        <f>INDEX(products!$A$1:$G$49,MATCH($D282,products!$A$1:$A$49,0),MATCH(J$1,products!$A$1:$G$1,0))</f>
        <v>M</v>
      </c>
      <c r="K282" s="4">
        <f>INDEX(products!$A$1:$G$49,MATCH($D282,products!$A$1:$A$49,0),MATCH(K$1,products!$A$1:$G$1,0))</f>
        <v>0.5</v>
      </c>
      <c r="L282" s="5">
        <f>INDEX(products!$A$1:$G$49,MATCH($D282,products!$A$1:$A$49,0),MATCH(L$1,products!$A$1:$G$1,0))</f>
        <v>8.25</v>
      </c>
      <c r="M282" s="5">
        <f t="shared" si="13"/>
        <v>41.25</v>
      </c>
      <c r="N282" t="str">
        <f t="shared" si="15"/>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INDEX(products!$A$1:$G$49,MATCH($D283,products!$A$1:$A$49,0),MATCH(I$1,products!$A$1:$G$1,0))</f>
        <v>Exc</v>
      </c>
      <c r="J283" t="str">
        <f>INDEX(products!$A$1:$G$49,MATCH($D283,products!$A$1:$A$49,0),MATCH(J$1,products!$A$1:$G$1,0))</f>
        <v>L</v>
      </c>
      <c r="K283" s="4">
        <f>INDEX(products!$A$1:$G$49,MATCH($D283,products!$A$1:$A$49,0),MATCH(K$1,products!$A$1:$G$1,0))</f>
        <v>1</v>
      </c>
      <c r="L283" s="5">
        <f>INDEX(products!$A$1:$G$49,MATCH($D283,products!$A$1:$A$49,0),MATCH(L$1,products!$A$1:$G$1,0))</f>
        <v>14.85</v>
      </c>
      <c r="M283" s="5">
        <f t="shared" si="13"/>
        <v>59.4</v>
      </c>
      <c r="N283" t="str">
        <f t="shared" si="15"/>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INDEX(products!$A$1:$G$49,MATCH($D284,products!$A$1:$A$49,0),MATCH(I$1,products!$A$1:$G$1,0))</f>
        <v>Ara</v>
      </c>
      <c r="J284" t="str">
        <f>INDEX(products!$A$1:$G$49,MATCH($D284,products!$A$1:$A$49,0),MATCH(J$1,products!$A$1:$G$1,0))</f>
        <v>L</v>
      </c>
      <c r="K284" s="4">
        <f>INDEX(products!$A$1:$G$49,MATCH($D284,products!$A$1:$A$49,0),MATCH(K$1,products!$A$1:$G$1,0))</f>
        <v>0.5</v>
      </c>
      <c r="L284" s="5">
        <f>INDEX(products!$A$1:$G$49,MATCH($D284,products!$A$1:$A$49,0),MATCH(L$1,products!$A$1:$G$1,0))</f>
        <v>7.77</v>
      </c>
      <c r="M284" s="5">
        <f t="shared" si="13"/>
        <v>7.77</v>
      </c>
      <c r="N284" t="str">
        <f t="shared" si="15"/>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INDEX(products!$A$1:$G$49,MATCH($D285,products!$A$1:$A$49,0),MATCH(I$1,products!$A$1:$G$1,0))</f>
        <v>Rob</v>
      </c>
      <c r="J285" t="str">
        <f>INDEX(products!$A$1:$G$49,MATCH($D285,products!$A$1:$A$49,0),MATCH(J$1,products!$A$1:$G$1,0))</f>
        <v>D</v>
      </c>
      <c r="K285" s="4">
        <f>INDEX(products!$A$1:$G$49,MATCH($D285,products!$A$1:$A$49,0),MATCH(K$1,products!$A$1:$G$1,0))</f>
        <v>0.5</v>
      </c>
      <c r="L285" s="5">
        <f>INDEX(products!$A$1:$G$49,MATCH($D285,products!$A$1:$A$49,0),MATCH(L$1,products!$A$1:$G$1,0))</f>
        <v>5.3699999999999992</v>
      </c>
      <c r="M285" s="5">
        <f t="shared" si="13"/>
        <v>5.3699999999999992</v>
      </c>
      <c r="N285" t="str">
        <f t="shared" si="15"/>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f>
        <v>Nanine McCarthy</v>
      </c>
      <c r="G286" s="2" t="str">
        <f>IF(_xlfn.XLOOKUP(C286,customers!$A$1:$A$1001,customers!$C$1:$C$1001,,0)=0,"",_xlfn.XLOOKUP(C286,customers!$A$1:$A$1001,customers!$C$1:$C$1001,,0))</f>
        <v/>
      </c>
      <c r="H286" s="2" t="str">
        <f>_xlfn.XLOOKUP(C286,customers!$A$1:$A$1001,customers!$G$1:$G$1001,,0)</f>
        <v>United States</v>
      </c>
      <c r="I286" t="str">
        <f>INDEX(products!$A$1:$G$49,MATCH($D286,products!$A$1:$A$49,0),MATCH(I$1,products!$A$1:$G$1,0))</f>
        <v>Exc</v>
      </c>
      <c r="J286" t="str">
        <f>INDEX(products!$A$1:$G$49,MATCH($D286,products!$A$1:$A$49,0),MATCH(J$1,products!$A$1:$G$1,0))</f>
        <v>M</v>
      </c>
      <c r="K286" s="4">
        <f>INDEX(products!$A$1:$G$49,MATCH($D286,products!$A$1:$A$49,0),MATCH(K$1,products!$A$1:$G$1,0))</f>
        <v>2.5</v>
      </c>
      <c r="L286" s="5">
        <f>INDEX(products!$A$1:$G$49,MATCH($D286,products!$A$1:$A$49,0),MATCH(L$1,products!$A$1:$G$1,0))</f>
        <v>31.624999999999996</v>
      </c>
      <c r="M286" s="5">
        <f t="shared" si="13"/>
        <v>94.874999999999986</v>
      </c>
      <c r="N286" t="str">
        <f t="shared" si="15"/>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f>
        <v>Lyndsey Megany</v>
      </c>
      <c r="G287" s="2" t="str">
        <f>IF(_xlfn.XLOOKUP(C287,customers!$A$1:$A$1001,customers!$C$1:$C$1001,,0)=0,"",_xlfn.XLOOKUP(C287,customers!$A$1:$A$1001,customers!$C$1:$C$1001,,0))</f>
        <v/>
      </c>
      <c r="H287" s="2" t="str">
        <f>_xlfn.XLOOKUP(C287,customers!$A$1:$A$1001,customers!$G$1:$G$1001,,0)</f>
        <v>United States</v>
      </c>
      <c r="I287" t="str">
        <f>INDEX(products!$A$1:$G$49,MATCH($D287,products!$A$1:$A$49,0),MATCH(I$1,products!$A$1:$G$1,0))</f>
        <v>Lib</v>
      </c>
      <c r="J287" t="str">
        <f>INDEX(products!$A$1:$G$49,MATCH($D287,products!$A$1:$A$49,0),MATCH(J$1,products!$A$1:$G$1,0))</f>
        <v>L</v>
      </c>
      <c r="K287" s="4">
        <f>INDEX(products!$A$1:$G$49,MATCH($D287,products!$A$1:$A$49,0),MATCH(K$1,products!$A$1:$G$1,0))</f>
        <v>2.5</v>
      </c>
      <c r="L287" s="5">
        <f>INDEX(products!$A$1:$G$49,MATCH($D287,products!$A$1:$A$49,0),MATCH(L$1,products!$A$1:$G$1,0))</f>
        <v>36.454999999999998</v>
      </c>
      <c r="M287" s="5">
        <f t="shared" si="13"/>
        <v>36.454999999999998</v>
      </c>
      <c r="N287" t="str">
        <f t="shared" si="15"/>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INDEX(products!$A$1:$G$49,MATCH($D288,products!$A$1:$A$49,0),MATCH(I$1,products!$A$1:$G$1,0))</f>
        <v>Ara</v>
      </c>
      <c r="J288" t="str">
        <f>INDEX(products!$A$1:$G$49,MATCH($D288,products!$A$1:$A$49,0),MATCH(J$1,products!$A$1:$G$1,0))</f>
        <v>M</v>
      </c>
      <c r="K288" s="4">
        <f>INDEX(products!$A$1:$G$49,MATCH($D288,products!$A$1:$A$49,0),MATCH(K$1,products!$A$1:$G$1,0))</f>
        <v>0.2</v>
      </c>
      <c r="L288" s="5">
        <f>INDEX(products!$A$1:$G$49,MATCH($D288,products!$A$1:$A$49,0),MATCH(L$1,products!$A$1:$G$1,0))</f>
        <v>3.375</v>
      </c>
      <c r="M288" s="5">
        <f t="shared" si="13"/>
        <v>13.5</v>
      </c>
      <c r="N288" t="str">
        <f t="shared" si="15"/>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INDEX(products!$A$1:$G$49,MATCH($D289,products!$A$1:$A$49,0),MATCH(I$1,products!$A$1:$G$1,0))</f>
        <v>Rob</v>
      </c>
      <c r="J289" t="str">
        <f>INDEX(products!$A$1:$G$49,MATCH($D289,products!$A$1:$A$49,0),MATCH(J$1,products!$A$1:$G$1,0))</f>
        <v>L</v>
      </c>
      <c r="K289" s="4">
        <f>INDEX(products!$A$1:$G$49,MATCH($D289,products!$A$1:$A$49,0),MATCH(K$1,products!$A$1:$G$1,0))</f>
        <v>0.2</v>
      </c>
      <c r="L289" s="5">
        <f>INDEX(products!$A$1:$G$49,MATCH($D289,products!$A$1:$A$49,0),MATCH(L$1,products!$A$1:$G$1,0))</f>
        <v>3.5849999999999995</v>
      </c>
      <c r="M289" s="5">
        <f t="shared" si="13"/>
        <v>14.339999999999998</v>
      </c>
      <c r="N289" t="str">
        <f t="shared" si="15"/>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f>
        <v>Mathew Goulter</v>
      </c>
      <c r="G290" s="2" t="str">
        <f>IF(_xlfn.XLOOKUP(C290,customers!$A$1:$A$1001,customers!$C$1:$C$1001,,0)=0,"",_xlfn.XLOOKUP(C290,customers!$A$1:$A$1001,customers!$C$1:$C$1001,,0))</f>
        <v/>
      </c>
      <c r="H290" s="2" t="str">
        <f>_xlfn.XLOOKUP(C290,customers!$A$1:$A$1001,customers!$G$1:$G$1001,,0)</f>
        <v>Ireland</v>
      </c>
      <c r="I290" t="str">
        <f>INDEX(products!$A$1:$G$49,MATCH($D290,products!$A$1:$A$49,0),MATCH(I$1,products!$A$1:$G$1,0))</f>
        <v>Exc</v>
      </c>
      <c r="J290" t="str">
        <f>INDEX(products!$A$1:$G$49,MATCH($D290,products!$A$1:$A$49,0),MATCH(J$1,products!$A$1:$G$1,0))</f>
        <v>M</v>
      </c>
      <c r="K290" s="4">
        <f>INDEX(products!$A$1:$G$49,MATCH($D290,products!$A$1:$A$49,0),MATCH(K$1,products!$A$1:$G$1,0))</f>
        <v>0.5</v>
      </c>
      <c r="L290" s="5">
        <f>INDEX(products!$A$1:$G$49,MATCH($D290,products!$A$1:$A$49,0),MATCH(L$1,products!$A$1:$G$1,0))</f>
        <v>8.25</v>
      </c>
      <c r="M290" s="5">
        <f t="shared" si="13"/>
        <v>8.25</v>
      </c>
      <c r="N290" t="str">
        <f t="shared" si="15"/>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f>
        <v>Marris Grcic</v>
      </c>
      <c r="G291" s="2" t="str">
        <f>IF(_xlfn.XLOOKUP(C291,customers!$A$1:$A$1001,customers!$C$1:$C$1001,,0)=0,"",_xlfn.XLOOKUP(C291,customers!$A$1:$A$1001,customers!$C$1:$C$1001,,0))</f>
        <v/>
      </c>
      <c r="H291" s="2" t="str">
        <f>_xlfn.XLOOKUP(C291,customers!$A$1:$A$1001,customers!$G$1:$G$1001,,0)</f>
        <v>United States</v>
      </c>
      <c r="I291" t="str">
        <f>INDEX(products!$A$1:$G$49,MATCH($D291,products!$A$1:$A$49,0),MATCH(I$1,products!$A$1:$G$1,0))</f>
        <v>Rob</v>
      </c>
      <c r="J291" t="str">
        <f>INDEX(products!$A$1:$G$49,MATCH($D291,products!$A$1:$A$49,0),MATCH(J$1,products!$A$1:$G$1,0))</f>
        <v>D</v>
      </c>
      <c r="K291" s="4">
        <f>INDEX(products!$A$1:$G$49,MATCH($D291,products!$A$1:$A$49,0),MATCH(K$1,products!$A$1:$G$1,0))</f>
        <v>0.2</v>
      </c>
      <c r="L291" s="5">
        <f>INDEX(products!$A$1:$G$49,MATCH($D291,products!$A$1:$A$49,0),MATCH(L$1,products!$A$1:$G$1,0))</f>
        <v>2.6849999999999996</v>
      </c>
      <c r="M291" s="5">
        <f t="shared" si="13"/>
        <v>13.424999999999997</v>
      </c>
      <c r="N291" t="str">
        <f t="shared" si="15"/>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INDEX(products!$A$1:$G$49,MATCH($D292,products!$A$1:$A$49,0),MATCH(I$1,products!$A$1:$G$1,0))</f>
        <v>Ara</v>
      </c>
      <c r="J292" t="str">
        <f>INDEX(products!$A$1:$G$49,MATCH($D292,products!$A$1:$A$49,0),MATCH(J$1,products!$A$1:$G$1,0))</f>
        <v>D</v>
      </c>
      <c r="K292" s="4">
        <f>INDEX(products!$A$1:$G$49,MATCH($D292,products!$A$1:$A$49,0),MATCH(K$1,products!$A$1:$G$1,0))</f>
        <v>1</v>
      </c>
      <c r="L292" s="5">
        <f>INDEX(products!$A$1:$G$49,MATCH($D292,products!$A$1:$A$49,0),MATCH(L$1,products!$A$1:$G$1,0))</f>
        <v>9.9499999999999993</v>
      </c>
      <c r="M292" s="5">
        <f t="shared" si="13"/>
        <v>49.75</v>
      </c>
      <c r="N292" t="str">
        <f t="shared" si="15"/>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f>
        <v>Violante Skouling</v>
      </c>
      <c r="G293" s="2" t="str">
        <f>IF(_xlfn.XLOOKUP(C293,customers!$A$1:$A$1001,customers!$C$1:$C$1001,,0)=0,"",_xlfn.XLOOKUP(C293,customers!$A$1:$A$1001,customers!$C$1:$C$1001,,0))</f>
        <v/>
      </c>
      <c r="H293" s="2" t="str">
        <f>_xlfn.XLOOKUP(C293,customers!$A$1:$A$1001,customers!$G$1:$G$1001,,0)</f>
        <v>Ireland</v>
      </c>
      <c r="I293" t="str">
        <f>INDEX(products!$A$1:$G$49,MATCH($D293,products!$A$1:$A$49,0),MATCH(I$1,products!$A$1:$G$1,0))</f>
        <v>Exc</v>
      </c>
      <c r="J293" t="str">
        <f>INDEX(products!$A$1:$G$49,MATCH($D293,products!$A$1:$A$49,0),MATCH(J$1,products!$A$1:$G$1,0))</f>
        <v>M</v>
      </c>
      <c r="K293" s="4">
        <f>INDEX(products!$A$1:$G$49,MATCH($D293,products!$A$1:$A$49,0),MATCH(K$1,products!$A$1:$G$1,0))</f>
        <v>0.5</v>
      </c>
      <c r="L293" s="5">
        <f>INDEX(products!$A$1:$G$49,MATCH($D293,products!$A$1:$A$49,0),MATCH(L$1,products!$A$1:$G$1,0))</f>
        <v>8.25</v>
      </c>
      <c r="M293" s="5">
        <f t="shared" si="13"/>
        <v>16.5</v>
      </c>
      <c r="N293" t="str">
        <f t="shared" si="15"/>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INDEX(products!$A$1:$G$49,MATCH($D294,products!$A$1:$A$49,0),MATCH(I$1,products!$A$1:$G$1,0))</f>
        <v>Ara</v>
      </c>
      <c r="J294" t="str">
        <f>INDEX(products!$A$1:$G$49,MATCH($D294,products!$A$1:$A$49,0),MATCH(J$1,products!$A$1:$G$1,0))</f>
        <v>D</v>
      </c>
      <c r="K294" s="4">
        <f>INDEX(products!$A$1:$G$49,MATCH($D294,products!$A$1:$A$49,0),MATCH(K$1,products!$A$1:$G$1,0))</f>
        <v>0.5</v>
      </c>
      <c r="L294" s="5">
        <f>INDEX(products!$A$1:$G$49,MATCH($D294,products!$A$1:$A$49,0),MATCH(L$1,products!$A$1:$G$1,0))</f>
        <v>5.97</v>
      </c>
      <c r="M294" s="5">
        <f t="shared" si="13"/>
        <v>17.91</v>
      </c>
      <c r="N294" t="str">
        <f t="shared" si="15"/>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INDEX(products!$A$1:$G$49,MATCH($D295,products!$A$1:$A$49,0),MATCH(I$1,products!$A$1:$G$1,0))</f>
        <v>Ara</v>
      </c>
      <c r="J295" t="str">
        <f>INDEX(products!$A$1:$G$49,MATCH($D295,products!$A$1:$A$49,0),MATCH(J$1,products!$A$1:$G$1,0))</f>
        <v>D</v>
      </c>
      <c r="K295" s="4">
        <f>INDEX(products!$A$1:$G$49,MATCH($D295,products!$A$1:$A$49,0),MATCH(K$1,products!$A$1:$G$1,0))</f>
        <v>0.5</v>
      </c>
      <c r="L295" s="5">
        <f>INDEX(products!$A$1:$G$49,MATCH($D295,products!$A$1:$A$49,0),MATCH(L$1,products!$A$1:$G$1,0))</f>
        <v>5.97</v>
      </c>
      <c r="M295" s="5">
        <f t="shared" si="13"/>
        <v>29.849999999999998</v>
      </c>
      <c r="N295" t="str">
        <f t="shared" si="15"/>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f>
        <v>Micki Fero</v>
      </c>
      <c r="G296" s="2" t="str">
        <f>IF(_xlfn.XLOOKUP(C296,customers!$A$1:$A$1001,customers!$C$1:$C$1001,,0)=0,"",_xlfn.XLOOKUP(C296,customers!$A$1:$A$1001,customers!$C$1:$C$1001,,0))</f>
        <v/>
      </c>
      <c r="H296" s="2" t="str">
        <f>_xlfn.XLOOKUP(C296,customers!$A$1:$A$1001,customers!$G$1:$G$1001,,0)</f>
        <v>United States</v>
      </c>
      <c r="I296" t="str">
        <f>INDEX(products!$A$1:$G$49,MATCH($D296,products!$A$1:$A$49,0),MATCH(I$1,products!$A$1:$G$1,0))</f>
        <v>Exc</v>
      </c>
      <c r="J296" t="str">
        <f>INDEX(products!$A$1:$G$49,MATCH($D296,products!$A$1:$A$49,0),MATCH(J$1,products!$A$1:$G$1,0))</f>
        <v>L</v>
      </c>
      <c r="K296" s="4">
        <f>INDEX(products!$A$1:$G$49,MATCH($D296,products!$A$1:$A$49,0),MATCH(K$1,products!$A$1:$G$1,0))</f>
        <v>1</v>
      </c>
      <c r="L296" s="5">
        <f>INDEX(products!$A$1:$G$49,MATCH($D296,products!$A$1:$A$49,0),MATCH(L$1,products!$A$1:$G$1,0))</f>
        <v>14.85</v>
      </c>
      <c r="M296" s="5">
        <f t="shared" si="13"/>
        <v>44.55</v>
      </c>
      <c r="N296" t="str">
        <f t="shared" si="15"/>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f>
        <v>Cybill Graddell</v>
      </c>
      <c r="G297" s="2" t="str">
        <f>IF(_xlfn.XLOOKUP(C297,customers!$A$1:$A$1001,customers!$C$1:$C$1001,,0)=0,"",_xlfn.XLOOKUP(C297,customers!$A$1:$A$1001,customers!$C$1:$C$1001,,0))</f>
        <v/>
      </c>
      <c r="H297" s="2" t="str">
        <f>_xlfn.XLOOKUP(C297,customers!$A$1:$A$1001,customers!$G$1:$G$1001,,0)</f>
        <v>United States</v>
      </c>
      <c r="I297" t="str">
        <f>INDEX(products!$A$1:$G$49,MATCH($D297,products!$A$1:$A$49,0),MATCH(I$1,products!$A$1:$G$1,0))</f>
        <v>Exc</v>
      </c>
      <c r="J297" t="str">
        <f>INDEX(products!$A$1:$G$49,MATCH($D297,products!$A$1:$A$49,0),MATCH(J$1,products!$A$1:$G$1,0))</f>
        <v>M</v>
      </c>
      <c r="K297" s="4">
        <f>INDEX(products!$A$1:$G$49,MATCH($D297,products!$A$1:$A$49,0),MATCH(K$1,products!$A$1:$G$1,0))</f>
        <v>1</v>
      </c>
      <c r="L297" s="5">
        <f>INDEX(products!$A$1:$G$49,MATCH($D297,products!$A$1:$A$49,0),MATCH(L$1,products!$A$1:$G$1,0))</f>
        <v>13.75</v>
      </c>
      <c r="M297" s="5">
        <f t="shared" si="13"/>
        <v>27.5</v>
      </c>
      <c r="N297" t="str">
        <f t="shared" si="15"/>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INDEX(products!$A$1:$G$49,MATCH($D298,products!$A$1:$A$49,0),MATCH(I$1,products!$A$1:$G$1,0))</f>
        <v>Rob</v>
      </c>
      <c r="J298" t="str">
        <f>INDEX(products!$A$1:$G$49,MATCH($D298,products!$A$1:$A$49,0),MATCH(J$1,products!$A$1:$G$1,0))</f>
        <v>M</v>
      </c>
      <c r="K298" s="4">
        <f>INDEX(products!$A$1:$G$49,MATCH($D298,products!$A$1:$A$49,0),MATCH(K$1,products!$A$1:$G$1,0))</f>
        <v>0.5</v>
      </c>
      <c r="L298" s="5">
        <f>INDEX(products!$A$1:$G$49,MATCH($D298,products!$A$1:$A$49,0),MATCH(L$1,products!$A$1:$G$1,0))</f>
        <v>5.97</v>
      </c>
      <c r="M298" s="5">
        <f t="shared" si="13"/>
        <v>35.82</v>
      </c>
      <c r="N298" t="str">
        <f t="shared" si="15"/>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INDEX(products!$A$1:$G$49,MATCH($D299,products!$A$1:$A$49,0),MATCH(I$1,products!$A$1:$G$1,0))</f>
        <v>Rob</v>
      </c>
      <c r="J299" t="str">
        <f>INDEX(products!$A$1:$G$49,MATCH($D299,products!$A$1:$A$49,0),MATCH(J$1,products!$A$1:$G$1,0))</f>
        <v>D</v>
      </c>
      <c r="K299" s="4">
        <f>INDEX(products!$A$1:$G$49,MATCH($D299,products!$A$1:$A$49,0),MATCH(K$1,products!$A$1:$G$1,0))</f>
        <v>0.5</v>
      </c>
      <c r="L299" s="5">
        <f>INDEX(products!$A$1:$G$49,MATCH($D299,products!$A$1:$A$49,0),MATCH(L$1,products!$A$1:$G$1,0))</f>
        <v>5.3699999999999992</v>
      </c>
      <c r="M299" s="5">
        <f t="shared" si="13"/>
        <v>16.11</v>
      </c>
      <c r="N299" t="str">
        <f t="shared" si="15"/>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INDEX(products!$A$1:$G$49,MATCH($D300,products!$A$1:$A$49,0),MATCH(I$1,products!$A$1:$G$1,0))</f>
        <v>Exc</v>
      </c>
      <c r="J300" t="str">
        <f>INDEX(products!$A$1:$G$49,MATCH($D300,products!$A$1:$A$49,0),MATCH(J$1,products!$A$1:$G$1,0))</f>
        <v>L</v>
      </c>
      <c r="K300" s="4">
        <f>INDEX(products!$A$1:$G$49,MATCH($D300,products!$A$1:$A$49,0),MATCH(K$1,products!$A$1:$G$1,0))</f>
        <v>0.2</v>
      </c>
      <c r="L300" s="5">
        <f>INDEX(products!$A$1:$G$49,MATCH($D300,products!$A$1:$A$49,0),MATCH(L$1,products!$A$1:$G$1,0))</f>
        <v>4.4550000000000001</v>
      </c>
      <c r="M300" s="5">
        <f t="shared" si="13"/>
        <v>26.73</v>
      </c>
      <c r="N300" t="str">
        <f t="shared" si="15"/>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INDEX(products!$A$1:$G$49,MATCH($D301,products!$A$1:$A$49,0),MATCH(I$1,products!$A$1:$G$1,0))</f>
        <v>Exc</v>
      </c>
      <c r="J301" t="str">
        <f>INDEX(products!$A$1:$G$49,MATCH($D301,products!$A$1:$A$49,0),MATCH(J$1,products!$A$1:$G$1,0))</f>
        <v>L</v>
      </c>
      <c r="K301" s="4">
        <f>INDEX(products!$A$1:$G$49,MATCH($D301,products!$A$1:$A$49,0),MATCH(K$1,products!$A$1:$G$1,0))</f>
        <v>2.5</v>
      </c>
      <c r="L301" s="5">
        <f>INDEX(products!$A$1:$G$49,MATCH($D301,products!$A$1:$A$49,0),MATCH(L$1,products!$A$1:$G$1,0))</f>
        <v>34.154999999999994</v>
      </c>
      <c r="M301" s="5">
        <f t="shared" si="13"/>
        <v>204.92999999999995</v>
      </c>
      <c r="N301" t="str">
        <f t="shared" si="15"/>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INDEX(products!$A$1:$G$49,MATCH($D302,products!$A$1:$A$49,0),MATCH(I$1,products!$A$1:$G$1,0))</f>
        <v>Ara</v>
      </c>
      <c r="J302" t="str">
        <f>INDEX(products!$A$1:$G$49,MATCH($D302,products!$A$1:$A$49,0),MATCH(J$1,products!$A$1:$G$1,0))</f>
        <v>L</v>
      </c>
      <c r="K302" s="4">
        <f>INDEX(products!$A$1:$G$49,MATCH($D302,products!$A$1:$A$49,0),MATCH(K$1,products!$A$1:$G$1,0))</f>
        <v>1</v>
      </c>
      <c r="L302" s="5">
        <f>INDEX(products!$A$1:$G$49,MATCH($D302,products!$A$1:$A$49,0),MATCH(L$1,products!$A$1:$G$1,0))</f>
        <v>12.95</v>
      </c>
      <c r="M302" s="5">
        <f t="shared" si="13"/>
        <v>38.849999999999994</v>
      </c>
      <c r="N302" t="str">
        <f t="shared" si="15"/>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INDEX(products!$A$1:$G$49,MATCH($D303,products!$A$1:$A$49,0),MATCH(I$1,products!$A$1:$G$1,0))</f>
        <v>Lib</v>
      </c>
      <c r="J303" t="str">
        <f>INDEX(products!$A$1:$G$49,MATCH($D303,products!$A$1:$A$49,0),MATCH(J$1,products!$A$1:$G$1,0))</f>
        <v>D</v>
      </c>
      <c r="K303" s="4">
        <f>INDEX(products!$A$1:$G$49,MATCH($D303,products!$A$1:$A$49,0),MATCH(K$1,products!$A$1:$G$1,0))</f>
        <v>0.2</v>
      </c>
      <c r="L303" s="5">
        <f>INDEX(products!$A$1:$G$49,MATCH($D303,products!$A$1:$A$49,0),MATCH(L$1,products!$A$1:$G$1,0))</f>
        <v>3.8849999999999998</v>
      </c>
      <c r="M303" s="5">
        <f t="shared" si="13"/>
        <v>15.54</v>
      </c>
      <c r="N303" t="str">
        <f t="shared" si="15"/>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INDEX(products!$A$1:$G$49,MATCH($D304,products!$A$1:$A$49,0),MATCH(I$1,products!$A$1:$G$1,0))</f>
        <v>Ara</v>
      </c>
      <c r="J304" t="str">
        <f>INDEX(products!$A$1:$G$49,MATCH($D304,products!$A$1:$A$49,0),MATCH(J$1,products!$A$1:$G$1,0))</f>
        <v>M</v>
      </c>
      <c r="K304" s="4">
        <f>INDEX(products!$A$1:$G$49,MATCH($D304,products!$A$1:$A$49,0),MATCH(K$1,products!$A$1:$G$1,0))</f>
        <v>0.5</v>
      </c>
      <c r="L304" s="5">
        <f>INDEX(products!$A$1:$G$49,MATCH($D304,products!$A$1:$A$49,0),MATCH(L$1,products!$A$1:$G$1,0))</f>
        <v>6.75</v>
      </c>
      <c r="M304" s="5">
        <f t="shared" si="13"/>
        <v>6.75</v>
      </c>
      <c r="N304" t="str">
        <f t="shared" si="15"/>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INDEX(products!$A$1:$G$49,MATCH($D305,products!$A$1:$A$49,0),MATCH(I$1,products!$A$1:$G$1,0))</f>
        <v>Exc</v>
      </c>
      <c r="J305" t="str">
        <f>INDEX(products!$A$1:$G$49,MATCH($D305,products!$A$1:$A$49,0),MATCH(J$1,products!$A$1:$G$1,0))</f>
        <v>D</v>
      </c>
      <c r="K305" s="4">
        <f>INDEX(products!$A$1:$G$49,MATCH($D305,products!$A$1:$A$49,0),MATCH(K$1,products!$A$1:$G$1,0))</f>
        <v>2.5</v>
      </c>
      <c r="L305" s="5">
        <f>INDEX(products!$A$1:$G$49,MATCH($D305,products!$A$1:$A$49,0),MATCH(L$1,products!$A$1:$G$1,0))</f>
        <v>27.945</v>
      </c>
      <c r="M305" s="5">
        <f t="shared" si="13"/>
        <v>111.78</v>
      </c>
      <c r="N305" t="str">
        <f t="shared" si="15"/>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INDEX(products!$A$1:$G$49,MATCH($D306,products!$A$1:$A$49,0),MATCH(I$1,products!$A$1:$G$1,0))</f>
        <v>Ara</v>
      </c>
      <c r="J306" t="str">
        <f>INDEX(products!$A$1:$G$49,MATCH($D306,products!$A$1:$A$49,0),MATCH(J$1,products!$A$1:$G$1,0))</f>
        <v>L</v>
      </c>
      <c r="K306" s="4">
        <f>INDEX(products!$A$1:$G$49,MATCH($D306,products!$A$1:$A$49,0),MATCH(K$1,products!$A$1:$G$1,0))</f>
        <v>0.2</v>
      </c>
      <c r="L306" s="5">
        <f>INDEX(products!$A$1:$G$49,MATCH($D306,products!$A$1:$A$49,0),MATCH(L$1,products!$A$1:$G$1,0))</f>
        <v>3.8849999999999998</v>
      </c>
      <c r="M306" s="5">
        <f t="shared" si="13"/>
        <v>3.8849999999999998</v>
      </c>
      <c r="N306" t="str">
        <f t="shared" si="15"/>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INDEX(products!$A$1:$G$49,MATCH($D307,products!$A$1:$A$49,0),MATCH(I$1,products!$A$1:$G$1,0))</f>
        <v>Lib</v>
      </c>
      <c r="J307" t="str">
        <f>INDEX(products!$A$1:$G$49,MATCH($D307,products!$A$1:$A$49,0),MATCH(J$1,products!$A$1:$G$1,0))</f>
        <v>M</v>
      </c>
      <c r="K307" s="4">
        <f>INDEX(products!$A$1:$G$49,MATCH($D307,products!$A$1:$A$49,0),MATCH(K$1,products!$A$1:$G$1,0))</f>
        <v>0.2</v>
      </c>
      <c r="L307" s="5">
        <f>INDEX(products!$A$1:$G$49,MATCH($D307,products!$A$1:$A$49,0),MATCH(L$1,products!$A$1:$G$1,0))</f>
        <v>4.3650000000000002</v>
      </c>
      <c r="M307" s="5">
        <f t="shared" si="13"/>
        <v>21.825000000000003</v>
      </c>
      <c r="N307" t="str">
        <f t="shared" si="15"/>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INDEX(products!$A$1:$G$49,MATCH($D308,products!$A$1:$A$49,0),MATCH(I$1,products!$A$1:$G$1,0))</f>
        <v>Rob</v>
      </c>
      <c r="J308" t="str">
        <f>INDEX(products!$A$1:$G$49,MATCH($D308,products!$A$1:$A$49,0),MATCH(J$1,products!$A$1:$G$1,0))</f>
        <v>M</v>
      </c>
      <c r="K308" s="4">
        <f>INDEX(products!$A$1:$G$49,MATCH($D308,products!$A$1:$A$49,0),MATCH(K$1,products!$A$1:$G$1,0))</f>
        <v>0.2</v>
      </c>
      <c r="L308" s="5">
        <f>INDEX(products!$A$1:$G$49,MATCH($D308,products!$A$1:$A$49,0),MATCH(L$1,products!$A$1:$G$1,0))</f>
        <v>2.9849999999999999</v>
      </c>
      <c r="M308" s="5">
        <f t="shared" si="13"/>
        <v>14.924999999999999</v>
      </c>
      <c r="N308" t="str">
        <f t="shared" si="15"/>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INDEX(products!$A$1:$G$49,MATCH($D309,products!$A$1:$A$49,0),MATCH(I$1,products!$A$1:$G$1,0))</f>
        <v>Ara</v>
      </c>
      <c r="J309" t="str">
        <f>INDEX(products!$A$1:$G$49,MATCH($D309,products!$A$1:$A$49,0),MATCH(J$1,products!$A$1:$G$1,0))</f>
        <v>M</v>
      </c>
      <c r="K309" s="4">
        <f>INDEX(products!$A$1:$G$49,MATCH($D309,products!$A$1:$A$49,0),MATCH(K$1,products!$A$1:$G$1,0))</f>
        <v>1</v>
      </c>
      <c r="L309" s="5">
        <f>INDEX(products!$A$1:$G$49,MATCH($D309,products!$A$1:$A$49,0),MATCH(L$1,products!$A$1:$G$1,0))</f>
        <v>11.25</v>
      </c>
      <c r="M309" s="5">
        <f t="shared" si="13"/>
        <v>33.75</v>
      </c>
      <c r="N309" t="str">
        <f t="shared" si="15"/>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INDEX(products!$A$1:$G$49,MATCH($D310,products!$A$1:$A$49,0),MATCH(I$1,products!$A$1:$G$1,0))</f>
        <v>Ara</v>
      </c>
      <c r="J310" t="str">
        <f>INDEX(products!$A$1:$G$49,MATCH($D310,products!$A$1:$A$49,0),MATCH(J$1,products!$A$1:$G$1,0))</f>
        <v>M</v>
      </c>
      <c r="K310" s="4">
        <f>INDEX(products!$A$1:$G$49,MATCH($D310,products!$A$1:$A$49,0),MATCH(K$1,products!$A$1:$G$1,0))</f>
        <v>1</v>
      </c>
      <c r="L310" s="5">
        <f>INDEX(products!$A$1:$G$49,MATCH($D310,products!$A$1:$A$49,0),MATCH(L$1,products!$A$1:$G$1,0))</f>
        <v>11.25</v>
      </c>
      <c r="M310" s="5">
        <f t="shared" si="13"/>
        <v>33.75</v>
      </c>
      <c r="N310" t="str">
        <f t="shared" si="15"/>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INDEX(products!$A$1:$G$49,MATCH($D311,products!$A$1:$A$49,0),MATCH(I$1,products!$A$1:$G$1,0))</f>
        <v>Lib</v>
      </c>
      <c r="J311" t="str">
        <f>INDEX(products!$A$1:$G$49,MATCH($D311,products!$A$1:$A$49,0),MATCH(J$1,products!$A$1:$G$1,0))</f>
        <v>M</v>
      </c>
      <c r="K311" s="4">
        <f>INDEX(products!$A$1:$G$49,MATCH($D311,products!$A$1:$A$49,0),MATCH(K$1,products!$A$1:$G$1,0))</f>
        <v>0.2</v>
      </c>
      <c r="L311" s="5">
        <f>INDEX(products!$A$1:$G$49,MATCH($D311,products!$A$1:$A$49,0),MATCH(L$1,products!$A$1:$G$1,0))</f>
        <v>4.3650000000000002</v>
      </c>
      <c r="M311" s="5">
        <f t="shared" si="13"/>
        <v>26.19</v>
      </c>
      <c r="N311" t="str">
        <f t="shared" si="15"/>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INDEX(products!$A$1:$G$49,MATCH($D312,products!$A$1:$A$49,0),MATCH(I$1,products!$A$1:$G$1,0))</f>
        <v>Exc</v>
      </c>
      <c r="J312" t="str">
        <f>INDEX(products!$A$1:$G$49,MATCH($D312,products!$A$1:$A$49,0),MATCH(J$1,products!$A$1:$G$1,0))</f>
        <v>L</v>
      </c>
      <c r="K312" s="4">
        <f>INDEX(products!$A$1:$G$49,MATCH($D312,products!$A$1:$A$49,0),MATCH(K$1,products!$A$1:$G$1,0))</f>
        <v>1</v>
      </c>
      <c r="L312" s="5">
        <f>INDEX(products!$A$1:$G$49,MATCH($D312,products!$A$1:$A$49,0),MATCH(L$1,products!$A$1:$G$1,0))</f>
        <v>14.85</v>
      </c>
      <c r="M312" s="5">
        <f t="shared" si="13"/>
        <v>14.85</v>
      </c>
      <c r="N312" t="str">
        <f t="shared" si="15"/>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INDEX(products!$A$1:$G$49,MATCH($D313,products!$A$1:$A$49,0),MATCH(I$1,products!$A$1:$G$1,0))</f>
        <v>Exc</v>
      </c>
      <c r="J313" t="str">
        <f>INDEX(products!$A$1:$G$49,MATCH($D313,products!$A$1:$A$49,0),MATCH(J$1,products!$A$1:$G$1,0))</f>
        <v>M</v>
      </c>
      <c r="K313" s="4">
        <f>INDEX(products!$A$1:$G$49,MATCH($D313,products!$A$1:$A$49,0),MATCH(K$1,products!$A$1:$G$1,0))</f>
        <v>2.5</v>
      </c>
      <c r="L313" s="5">
        <f>INDEX(products!$A$1:$G$49,MATCH($D313,products!$A$1:$A$49,0),MATCH(L$1,products!$A$1:$G$1,0))</f>
        <v>31.624999999999996</v>
      </c>
      <c r="M313" s="5">
        <f t="shared" si="13"/>
        <v>189.74999999999997</v>
      </c>
      <c r="N313" t="str">
        <f t="shared" si="15"/>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INDEX(products!$A$1:$G$49,MATCH($D314,products!$A$1:$A$49,0),MATCH(I$1,products!$A$1:$G$1,0))</f>
        <v>Rob</v>
      </c>
      <c r="J314" t="str">
        <f>INDEX(products!$A$1:$G$49,MATCH($D314,products!$A$1:$A$49,0),MATCH(J$1,products!$A$1:$G$1,0))</f>
        <v>M</v>
      </c>
      <c r="K314" s="4">
        <f>INDEX(products!$A$1:$G$49,MATCH($D314,products!$A$1:$A$49,0),MATCH(K$1,products!$A$1:$G$1,0))</f>
        <v>0.5</v>
      </c>
      <c r="L314" s="5">
        <f>INDEX(products!$A$1:$G$49,MATCH($D314,products!$A$1:$A$49,0),MATCH(L$1,products!$A$1:$G$1,0))</f>
        <v>5.97</v>
      </c>
      <c r="M314" s="5">
        <f t="shared" si="13"/>
        <v>5.97</v>
      </c>
      <c r="N314" t="str">
        <f t="shared" si="15"/>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INDEX(products!$A$1:$G$49,MATCH($D315,products!$A$1:$A$49,0),MATCH(I$1,products!$A$1:$G$1,0))</f>
        <v>Rob</v>
      </c>
      <c r="J315" t="str">
        <f>INDEX(products!$A$1:$G$49,MATCH($D315,products!$A$1:$A$49,0),MATCH(J$1,products!$A$1:$G$1,0))</f>
        <v>M</v>
      </c>
      <c r="K315" s="4">
        <f>INDEX(products!$A$1:$G$49,MATCH($D315,products!$A$1:$A$49,0),MATCH(K$1,products!$A$1:$G$1,0))</f>
        <v>1</v>
      </c>
      <c r="L315" s="5">
        <f>INDEX(products!$A$1:$G$49,MATCH($D315,products!$A$1:$A$49,0),MATCH(L$1,products!$A$1:$G$1,0))</f>
        <v>9.9499999999999993</v>
      </c>
      <c r="M315" s="5">
        <f t="shared" si="13"/>
        <v>29.849999999999998</v>
      </c>
      <c r="N315" t="str">
        <f t="shared" si="15"/>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f>
        <v>Stacy Pickworth</v>
      </c>
      <c r="G316" s="2" t="str">
        <f>IF(_xlfn.XLOOKUP(C316,customers!$A$1:$A$1001,customers!$C$1:$C$1001,,0)=0,"",_xlfn.XLOOKUP(C316,customers!$A$1:$A$1001,customers!$C$1:$C$1001,,0))</f>
        <v/>
      </c>
      <c r="H316" s="2" t="str">
        <f>_xlfn.XLOOKUP(C316,customers!$A$1:$A$1001,customers!$G$1:$G$1001,,0)</f>
        <v>United States</v>
      </c>
      <c r="I316" t="str">
        <f>INDEX(products!$A$1:$G$49,MATCH($D316,products!$A$1:$A$49,0),MATCH(I$1,products!$A$1:$G$1,0))</f>
        <v>Rob</v>
      </c>
      <c r="J316" t="str">
        <f>INDEX(products!$A$1:$G$49,MATCH($D316,products!$A$1:$A$49,0),MATCH(J$1,products!$A$1:$G$1,0))</f>
        <v>D</v>
      </c>
      <c r="K316" s="4">
        <f>INDEX(products!$A$1:$G$49,MATCH($D316,products!$A$1:$A$49,0),MATCH(K$1,products!$A$1:$G$1,0))</f>
        <v>1</v>
      </c>
      <c r="L316" s="5">
        <f>INDEX(products!$A$1:$G$49,MATCH($D316,products!$A$1:$A$49,0),MATCH(L$1,products!$A$1:$G$1,0))</f>
        <v>8.9499999999999993</v>
      </c>
      <c r="M316" s="5">
        <f t="shared" si="13"/>
        <v>44.75</v>
      </c>
      <c r="N316" t="str">
        <f t="shared" si="15"/>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INDEX(products!$A$1:$G$49,MATCH($D317,products!$A$1:$A$49,0),MATCH(I$1,products!$A$1:$G$1,0))</f>
        <v>Exc</v>
      </c>
      <c r="J317" t="str">
        <f>INDEX(products!$A$1:$G$49,MATCH($D317,products!$A$1:$A$49,0),MATCH(J$1,products!$A$1:$G$1,0))</f>
        <v>L</v>
      </c>
      <c r="K317" s="4">
        <f>INDEX(products!$A$1:$G$49,MATCH($D317,products!$A$1:$A$49,0),MATCH(K$1,products!$A$1:$G$1,0))</f>
        <v>2.5</v>
      </c>
      <c r="L317" s="5">
        <f>INDEX(products!$A$1:$G$49,MATCH($D317,products!$A$1:$A$49,0),MATCH(L$1,products!$A$1:$G$1,0))</f>
        <v>34.154999999999994</v>
      </c>
      <c r="M317" s="5">
        <f t="shared" si="13"/>
        <v>34.154999999999994</v>
      </c>
      <c r="N317" t="str">
        <f t="shared" si="15"/>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f>
        <v>Nanny Lush</v>
      </c>
      <c r="G318" s="2" t="str">
        <f>IF(_xlfn.XLOOKUP(C318,customers!$A$1:$A$1001,customers!$C$1:$C$1001,,0)=0,"",_xlfn.XLOOKUP(C318,customers!$A$1:$A$1001,customers!$C$1:$C$1001,,0))</f>
        <v>nlush8s@dedecms.com</v>
      </c>
      <c r="H318" s="2" t="str">
        <f>_xlfn.XLOOKUP(C318,customers!$A$1:$A$1001,customers!$G$1:$G$1001,,0)</f>
        <v>Ireland</v>
      </c>
      <c r="I318" t="str">
        <f>INDEX(products!$A$1:$G$49,MATCH($D318,products!$A$1:$A$49,0),MATCH(I$1,products!$A$1:$G$1,0))</f>
        <v>Exc</v>
      </c>
      <c r="J318" t="str">
        <f>INDEX(products!$A$1:$G$49,MATCH($D318,products!$A$1:$A$49,0),MATCH(J$1,products!$A$1:$G$1,0))</f>
        <v>L</v>
      </c>
      <c r="K318" s="4">
        <f>INDEX(products!$A$1:$G$49,MATCH($D318,products!$A$1:$A$49,0),MATCH(K$1,products!$A$1:$G$1,0))</f>
        <v>2.5</v>
      </c>
      <c r="L318" s="5">
        <f>INDEX(products!$A$1:$G$49,MATCH($D318,products!$A$1:$A$49,0),MATCH(L$1,products!$A$1:$G$1,0))</f>
        <v>34.154999999999994</v>
      </c>
      <c r="M318" s="5">
        <f t="shared" si="13"/>
        <v>204.92999999999995</v>
      </c>
      <c r="N318" t="str">
        <f t="shared" si="15"/>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INDEX(products!$A$1:$G$49,MATCH($D319,products!$A$1:$A$49,0),MATCH(I$1,products!$A$1:$G$1,0))</f>
        <v>Exc</v>
      </c>
      <c r="J319" t="str">
        <f>INDEX(products!$A$1:$G$49,MATCH($D319,products!$A$1:$A$49,0),MATCH(J$1,products!$A$1:$G$1,0))</f>
        <v>D</v>
      </c>
      <c r="K319" s="4">
        <f>INDEX(products!$A$1:$G$49,MATCH($D319,products!$A$1:$A$49,0),MATCH(K$1,products!$A$1:$G$1,0))</f>
        <v>0.5</v>
      </c>
      <c r="L319" s="5">
        <f>INDEX(products!$A$1:$G$49,MATCH($D319,products!$A$1:$A$49,0),MATCH(L$1,products!$A$1:$G$1,0))</f>
        <v>7.29</v>
      </c>
      <c r="M319" s="5">
        <f t="shared" si="13"/>
        <v>21.87</v>
      </c>
      <c r="N319" t="str">
        <f t="shared" si="15"/>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INDEX(products!$A$1:$G$49,MATCH($D320,products!$A$1:$A$49,0),MATCH(I$1,products!$A$1:$G$1,0))</f>
        <v>Ara</v>
      </c>
      <c r="J320" t="str">
        <f>INDEX(products!$A$1:$G$49,MATCH($D320,products!$A$1:$A$49,0),MATCH(J$1,products!$A$1:$G$1,0))</f>
        <v>M</v>
      </c>
      <c r="K320" s="4">
        <f>INDEX(products!$A$1:$G$49,MATCH($D320,products!$A$1:$A$49,0),MATCH(K$1,products!$A$1:$G$1,0))</f>
        <v>2.5</v>
      </c>
      <c r="L320" s="5">
        <f>INDEX(products!$A$1:$G$49,MATCH($D320,products!$A$1:$A$49,0),MATCH(L$1,products!$A$1:$G$1,0))</f>
        <v>25.874999999999996</v>
      </c>
      <c r="M320" s="5">
        <f t="shared" si="13"/>
        <v>51.749999999999993</v>
      </c>
      <c r="N320" t="str">
        <f t="shared" si="15"/>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INDEX(products!$A$1:$G$49,MATCH($D321,products!$A$1:$A$49,0),MATCH(I$1,products!$A$1:$G$1,0))</f>
        <v>Exc</v>
      </c>
      <c r="J321" t="str">
        <f>INDEX(products!$A$1:$G$49,MATCH($D321,products!$A$1:$A$49,0),MATCH(J$1,products!$A$1:$G$1,0))</f>
        <v>M</v>
      </c>
      <c r="K321" s="4">
        <f>INDEX(products!$A$1:$G$49,MATCH($D321,products!$A$1:$A$49,0),MATCH(K$1,products!$A$1:$G$1,0))</f>
        <v>0.2</v>
      </c>
      <c r="L321" s="5">
        <f>INDEX(products!$A$1:$G$49,MATCH($D321,products!$A$1:$A$49,0),MATCH(L$1,products!$A$1:$G$1,0))</f>
        <v>4.125</v>
      </c>
      <c r="M321" s="5">
        <f t="shared" si="13"/>
        <v>8.25</v>
      </c>
      <c r="N321" t="str">
        <f t="shared" si="15"/>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INDEX(products!$A$1:$G$49,MATCH($D322,products!$A$1:$A$49,0),MATCH(I$1,products!$A$1:$G$1,0))</f>
        <v>Ara</v>
      </c>
      <c r="J322" t="str">
        <f>INDEX(products!$A$1:$G$49,MATCH($D322,products!$A$1:$A$49,0),MATCH(J$1,products!$A$1:$G$1,0))</f>
        <v>L</v>
      </c>
      <c r="K322" s="4">
        <f>INDEX(products!$A$1:$G$49,MATCH($D322,products!$A$1:$A$49,0),MATCH(K$1,products!$A$1:$G$1,0))</f>
        <v>0.2</v>
      </c>
      <c r="L322" s="5">
        <f>INDEX(products!$A$1:$G$49,MATCH($D322,products!$A$1:$A$49,0),MATCH(L$1,products!$A$1:$G$1,0))</f>
        <v>3.8849999999999998</v>
      </c>
      <c r="M322" s="5">
        <f t="shared" si="13"/>
        <v>19.424999999999997</v>
      </c>
      <c r="N322" t="str">
        <f t="shared" si="15"/>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f>
        <v>Gaile Goggin</v>
      </c>
      <c r="G323" s="2" t="str">
        <f>IF(_xlfn.XLOOKUP(C323,customers!$A$1:$A$1001,customers!$C$1:$C$1001,,0)=0,"",_xlfn.XLOOKUP(C323,customers!$A$1:$A$1001,customers!$C$1:$C$1001,,0))</f>
        <v>ggoggin8x@wix.com</v>
      </c>
      <c r="H323" s="2" t="str">
        <f>_xlfn.XLOOKUP(C323,customers!$A$1:$A$1001,customers!$G$1:$G$1001,,0)</f>
        <v>Ireland</v>
      </c>
      <c r="I323" t="str">
        <f>INDEX(products!$A$1:$G$49,MATCH($D323,products!$A$1:$A$49,0),MATCH(I$1,products!$A$1:$G$1,0))</f>
        <v>Ara</v>
      </c>
      <c r="J323" t="str">
        <f>INDEX(products!$A$1:$G$49,MATCH($D323,products!$A$1:$A$49,0),MATCH(J$1,products!$A$1:$G$1,0))</f>
        <v>M</v>
      </c>
      <c r="K323" s="4">
        <f>INDEX(products!$A$1:$G$49,MATCH($D323,products!$A$1:$A$49,0),MATCH(K$1,products!$A$1:$G$1,0))</f>
        <v>0.2</v>
      </c>
      <c r="L323" s="5">
        <f>INDEX(products!$A$1:$G$49,MATCH($D323,products!$A$1:$A$49,0),MATCH(L$1,products!$A$1:$G$1,0))</f>
        <v>3.375</v>
      </c>
      <c r="M323" s="5">
        <f t="shared" ref="M323:M386" si="16">L323*E323</f>
        <v>20.25</v>
      </c>
      <c r="N323" t="str">
        <f t="shared" si="15"/>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INDEX(products!$A$1:$G$49,MATCH($D324,products!$A$1:$A$49,0),MATCH(I$1,products!$A$1:$G$1,0))</f>
        <v>Lib</v>
      </c>
      <c r="J324" t="str">
        <f>INDEX(products!$A$1:$G$49,MATCH($D324,products!$A$1:$A$49,0),MATCH(J$1,products!$A$1:$G$1,0))</f>
        <v>D</v>
      </c>
      <c r="K324" s="4">
        <f>INDEX(products!$A$1:$G$49,MATCH($D324,products!$A$1:$A$49,0),MATCH(K$1,products!$A$1:$G$1,0))</f>
        <v>0.5</v>
      </c>
      <c r="L324" s="5">
        <f>INDEX(products!$A$1:$G$49,MATCH($D324,products!$A$1:$A$49,0),MATCH(L$1,products!$A$1:$G$1,0))</f>
        <v>7.77</v>
      </c>
      <c r="M324" s="5">
        <f t="shared" si="16"/>
        <v>23.31</v>
      </c>
      <c r="N324" t="str">
        <f t="shared" si="15"/>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INDEX(products!$A$1:$G$49,MATCH($D325,products!$A$1:$A$49,0),MATCH(I$1,products!$A$1:$G$1,0))</f>
        <v>Exc</v>
      </c>
      <c r="J325" t="str">
        <f>INDEX(products!$A$1:$G$49,MATCH($D325,products!$A$1:$A$49,0),MATCH(J$1,products!$A$1:$G$1,0))</f>
        <v>D</v>
      </c>
      <c r="K325" s="4">
        <f>INDEX(products!$A$1:$G$49,MATCH($D325,products!$A$1:$A$49,0),MATCH(K$1,products!$A$1:$G$1,0))</f>
        <v>0.2</v>
      </c>
      <c r="L325" s="5">
        <f>INDEX(products!$A$1:$G$49,MATCH($D325,products!$A$1:$A$49,0),MATCH(L$1,products!$A$1:$G$1,0))</f>
        <v>3.645</v>
      </c>
      <c r="M325" s="5">
        <f t="shared" si="16"/>
        <v>18.225000000000001</v>
      </c>
      <c r="N325" t="str">
        <f t="shared" si="15"/>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f>
        <v>Diena Peetermann</v>
      </c>
      <c r="G326" s="2" t="str">
        <f>IF(_xlfn.XLOOKUP(C326,customers!$A$1:$A$1001,customers!$C$1:$C$1001,,0)=0,"",_xlfn.XLOOKUP(C326,customers!$A$1:$A$1001,customers!$C$1:$C$1001,,0))</f>
        <v/>
      </c>
      <c r="H326" s="2" t="str">
        <f>_xlfn.XLOOKUP(C326,customers!$A$1:$A$1001,customers!$G$1:$G$1001,,0)</f>
        <v>United States</v>
      </c>
      <c r="I326" t="str">
        <f>INDEX(products!$A$1:$G$49,MATCH($D326,products!$A$1:$A$49,0),MATCH(I$1,products!$A$1:$G$1,0))</f>
        <v>Exc</v>
      </c>
      <c r="J326" t="str">
        <f>INDEX(products!$A$1:$G$49,MATCH($D326,products!$A$1:$A$49,0),MATCH(J$1,products!$A$1:$G$1,0))</f>
        <v>M</v>
      </c>
      <c r="K326" s="4">
        <f>INDEX(products!$A$1:$G$49,MATCH($D326,products!$A$1:$A$49,0),MATCH(K$1,products!$A$1:$G$1,0))</f>
        <v>1</v>
      </c>
      <c r="L326" s="5">
        <f>INDEX(products!$A$1:$G$49,MATCH($D326,products!$A$1:$A$49,0),MATCH(L$1,products!$A$1:$G$1,0))</f>
        <v>13.75</v>
      </c>
      <c r="M326" s="5">
        <f t="shared" si="16"/>
        <v>13.75</v>
      </c>
      <c r="N326" t="str">
        <f t="shared" si="15"/>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f>
        <v>Trina Le Sarr</v>
      </c>
      <c r="G327" s="2" t="str">
        <f>IF(_xlfn.XLOOKUP(C327,customers!$A$1:$A$1001,customers!$C$1:$C$1001,,0)=0,"",_xlfn.XLOOKUP(C327,customers!$A$1:$A$1001,customers!$C$1:$C$1001,,0))</f>
        <v>tle91@epa.gov</v>
      </c>
      <c r="H327" s="2" t="str">
        <f>_xlfn.XLOOKUP(C327,customers!$A$1:$A$1001,customers!$G$1:$G$1001,,0)</f>
        <v>United States</v>
      </c>
      <c r="I327" t="str">
        <f>INDEX(products!$A$1:$G$49,MATCH($D327,products!$A$1:$A$49,0),MATCH(I$1,products!$A$1:$G$1,0))</f>
        <v>Ara</v>
      </c>
      <c r="J327" t="str">
        <f>INDEX(products!$A$1:$G$49,MATCH($D327,products!$A$1:$A$49,0),MATCH(J$1,products!$A$1:$G$1,0))</f>
        <v>L</v>
      </c>
      <c r="K327" s="4">
        <f>INDEX(products!$A$1:$G$49,MATCH($D327,products!$A$1:$A$49,0),MATCH(K$1,products!$A$1:$G$1,0))</f>
        <v>2.5</v>
      </c>
      <c r="L327" s="5">
        <f>INDEX(products!$A$1:$G$49,MATCH($D327,products!$A$1:$A$49,0),MATCH(L$1,products!$A$1:$G$1,0))</f>
        <v>29.784999999999997</v>
      </c>
      <c r="M327" s="5">
        <f t="shared" si="16"/>
        <v>29.784999999999997</v>
      </c>
      <c r="N327" t="str">
        <f t="shared" ref="N327:N390" si="18">IF(I327="Rob","Robusta",IF(I327="Ara","Arabica",IF(I327="Exc","Excelsa",IF(I327="Lib","Liberica",""))))</f>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f>
        <v>Flynn Antony</v>
      </c>
      <c r="G328" s="2" t="str">
        <f>IF(_xlfn.XLOOKUP(C328,customers!$A$1:$A$1001,customers!$C$1:$C$1001,,0)=0,"",_xlfn.XLOOKUP(C328,customers!$A$1:$A$1001,customers!$C$1:$C$1001,,0))</f>
        <v/>
      </c>
      <c r="H328" s="2" t="str">
        <f>_xlfn.XLOOKUP(C328,customers!$A$1:$A$1001,customers!$G$1:$G$1001,,0)</f>
        <v>United States</v>
      </c>
      <c r="I328" t="str">
        <f>INDEX(products!$A$1:$G$49,MATCH($D328,products!$A$1:$A$49,0),MATCH(I$1,products!$A$1:$G$1,0))</f>
        <v>Rob</v>
      </c>
      <c r="J328" t="str">
        <f>INDEX(products!$A$1:$G$49,MATCH($D328,products!$A$1:$A$49,0),MATCH(J$1,products!$A$1:$G$1,0))</f>
        <v>D</v>
      </c>
      <c r="K328" s="4">
        <f>INDEX(products!$A$1:$G$49,MATCH($D328,products!$A$1:$A$49,0),MATCH(K$1,products!$A$1:$G$1,0))</f>
        <v>1</v>
      </c>
      <c r="L328" s="5">
        <f>INDEX(products!$A$1:$G$49,MATCH($D328,products!$A$1:$A$49,0),MATCH(L$1,products!$A$1:$G$1,0))</f>
        <v>8.9499999999999993</v>
      </c>
      <c r="M328" s="5">
        <f t="shared" si="16"/>
        <v>44.75</v>
      </c>
      <c r="N328" t="str">
        <f t="shared" si="18"/>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INDEX(products!$A$1:$G$49,MATCH($D329,products!$A$1:$A$49,0),MATCH(I$1,products!$A$1:$G$1,0))</f>
        <v>Rob</v>
      </c>
      <c r="J329" t="str">
        <f>INDEX(products!$A$1:$G$49,MATCH($D329,products!$A$1:$A$49,0),MATCH(J$1,products!$A$1:$G$1,0))</f>
        <v>D</v>
      </c>
      <c r="K329" s="4">
        <f>INDEX(products!$A$1:$G$49,MATCH($D329,products!$A$1:$A$49,0),MATCH(K$1,products!$A$1:$G$1,0))</f>
        <v>1</v>
      </c>
      <c r="L329" s="5">
        <f>INDEX(products!$A$1:$G$49,MATCH($D329,products!$A$1:$A$49,0),MATCH(L$1,products!$A$1:$G$1,0))</f>
        <v>8.9499999999999993</v>
      </c>
      <c r="M329" s="5">
        <f t="shared" si="16"/>
        <v>44.75</v>
      </c>
      <c r="N329" t="str">
        <f t="shared" si="18"/>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f>
        <v>Homer Dulany</v>
      </c>
      <c r="G330" s="2" t="str">
        <f>IF(_xlfn.XLOOKUP(C330,customers!$A$1:$A$1001,customers!$C$1:$C$1001,,0)=0,"",_xlfn.XLOOKUP(C330,customers!$A$1:$A$1001,customers!$C$1:$C$1001,,0))</f>
        <v/>
      </c>
      <c r="H330" s="2" t="str">
        <f>_xlfn.XLOOKUP(C330,customers!$A$1:$A$1001,customers!$G$1:$G$1001,,0)</f>
        <v>United States</v>
      </c>
      <c r="I330" t="str">
        <f>INDEX(products!$A$1:$G$49,MATCH($D330,products!$A$1:$A$49,0),MATCH(I$1,products!$A$1:$G$1,0))</f>
        <v>Lib</v>
      </c>
      <c r="J330" t="str">
        <f>INDEX(products!$A$1:$G$49,MATCH($D330,products!$A$1:$A$49,0),MATCH(J$1,products!$A$1:$G$1,0))</f>
        <v>L</v>
      </c>
      <c r="K330" s="4">
        <f>INDEX(products!$A$1:$G$49,MATCH($D330,products!$A$1:$A$49,0),MATCH(K$1,products!$A$1:$G$1,0))</f>
        <v>0.5</v>
      </c>
      <c r="L330" s="5">
        <f>INDEX(products!$A$1:$G$49,MATCH($D330,products!$A$1:$A$49,0),MATCH(L$1,products!$A$1:$G$1,0))</f>
        <v>9.51</v>
      </c>
      <c r="M330" s="5">
        <f t="shared" si="16"/>
        <v>38.04</v>
      </c>
      <c r="N330" t="str">
        <f t="shared" si="18"/>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INDEX(products!$A$1:$G$49,MATCH($D331,products!$A$1:$A$49,0),MATCH(I$1,products!$A$1:$G$1,0))</f>
        <v>Rob</v>
      </c>
      <c r="J331" t="str">
        <f>INDEX(products!$A$1:$G$49,MATCH($D331,products!$A$1:$A$49,0),MATCH(J$1,products!$A$1:$G$1,0))</f>
        <v>D</v>
      </c>
      <c r="K331" s="4">
        <f>INDEX(products!$A$1:$G$49,MATCH($D331,products!$A$1:$A$49,0),MATCH(K$1,products!$A$1:$G$1,0))</f>
        <v>0.5</v>
      </c>
      <c r="L331" s="5">
        <f>INDEX(products!$A$1:$G$49,MATCH($D331,products!$A$1:$A$49,0),MATCH(L$1,products!$A$1:$G$1,0))</f>
        <v>5.3699999999999992</v>
      </c>
      <c r="M331" s="5">
        <f t="shared" si="16"/>
        <v>21.479999999999997</v>
      </c>
      <c r="N331" t="str">
        <f t="shared" si="18"/>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INDEX(products!$A$1:$G$49,MATCH($D332,products!$A$1:$A$49,0),MATCH(I$1,products!$A$1:$G$1,0))</f>
        <v>Rob</v>
      </c>
      <c r="J332" t="str">
        <f>INDEX(products!$A$1:$G$49,MATCH($D332,products!$A$1:$A$49,0),MATCH(J$1,products!$A$1:$G$1,0))</f>
        <v>D</v>
      </c>
      <c r="K332" s="4">
        <f>INDEX(products!$A$1:$G$49,MATCH($D332,products!$A$1:$A$49,0),MATCH(K$1,products!$A$1:$G$1,0))</f>
        <v>0.5</v>
      </c>
      <c r="L332" s="5">
        <f>INDEX(products!$A$1:$G$49,MATCH($D332,products!$A$1:$A$49,0),MATCH(L$1,products!$A$1:$G$1,0))</f>
        <v>5.3699999999999992</v>
      </c>
      <c r="M332" s="5">
        <f t="shared" si="16"/>
        <v>16.11</v>
      </c>
      <c r="N332" t="str">
        <f t="shared" si="18"/>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INDEX(products!$A$1:$G$49,MATCH($D333,products!$A$1:$A$49,0),MATCH(I$1,products!$A$1:$G$1,0))</f>
        <v>Rob</v>
      </c>
      <c r="J333" t="str">
        <f>INDEX(products!$A$1:$G$49,MATCH($D333,products!$A$1:$A$49,0),MATCH(J$1,products!$A$1:$G$1,0))</f>
        <v>M</v>
      </c>
      <c r="K333" s="4">
        <f>INDEX(products!$A$1:$G$49,MATCH($D333,products!$A$1:$A$49,0),MATCH(K$1,products!$A$1:$G$1,0))</f>
        <v>2.5</v>
      </c>
      <c r="L333" s="5">
        <f>INDEX(products!$A$1:$G$49,MATCH($D333,products!$A$1:$A$49,0),MATCH(L$1,products!$A$1:$G$1,0))</f>
        <v>22.884999999999998</v>
      </c>
      <c r="M333" s="5">
        <f t="shared" si="16"/>
        <v>22.884999999999998</v>
      </c>
      <c r="N333" t="str">
        <f t="shared" si="18"/>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INDEX(products!$A$1:$G$49,MATCH($D334,products!$A$1:$A$49,0),MATCH(I$1,products!$A$1:$G$1,0))</f>
        <v>Ara</v>
      </c>
      <c r="J334" t="str">
        <f>INDEX(products!$A$1:$G$49,MATCH($D334,products!$A$1:$A$49,0),MATCH(J$1,products!$A$1:$G$1,0))</f>
        <v>D</v>
      </c>
      <c r="K334" s="4">
        <f>INDEX(products!$A$1:$G$49,MATCH($D334,products!$A$1:$A$49,0),MATCH(K$1,products!$A$1:$G$1,0))</f>
        <v>0.5</v>
      </c>
      <c r="L334" s="5">
        <f>INDEX(products!$A$1:$G$49,MATCH($D334,products!$A$1:$A$49,0),MATCH(L$1,products!$A$1:$G$1,0))</f>
        <v>5.97</v>
      </c>
      <c r="M334" s="5">
        <f t="shared" si="16"/>
        <v>17.91</v>
      </c>
      <c r="N334" t="str">
        <f t="shared" si="18"/>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INDEX(products!$A$1:$G$49,MATCH($D335,products!$A$1:$A$49,0),MATCH(I$1,products!$A$1:$G$1,0))</f>
        <v>Rob</v>
      </c>
      <c r="J335" t="str">
        <f>INDEX(products!$A$1:$G$49,MATCH($D335,products!$A$1:$A$49,0),MATCH(J$1,products!$A$1:$G$1,0))</f>
        <v>M</v>
      </c>
      <c r="K335" s="4">
        <f>INDEX(products!$A$1:$G$49,MATCH($D335,products!$A$1:$A$49,0),MATCH(K$1,products!$A$1:$G$1,0))</f>
        <v>0.5</v>
      </c>
      <c r="L335" s="5">
        <f>INDEX(products!$A$1:$G$49,MATCH($D335,products!$A$1:$A$49,0),MATCH(L$1,products!$A$1:$G$1,0))</f>
        <v>5.97</v>
      </c>
      <c r="M335" s="5">
        <f t="shared" si="16"/>
        <v>23.88</v>
      </c>
      <c r="N335" t="str">
        <f t="shared" si="18"/>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f>
        <v>Elonore Goodings</v>
      </c>
      <c r="G336" s="2" t="str">
        <f>IF(_xlfn.XLOOKUP(C336,customers!$A$1:$A$1001,customers!$C$1:$C$1001,,0)=0,"",_xlfn.XLOOKUP(C336,customers!$A$1:$A$1001,customers!$C$1:$C$1001,,0))</f>
        <v/>
      </c>
      <c r="H336" s="2" t="str">
        <f>_xlfn.XLOOKUP(C336,customers!$A$1:$A$1001,customers!$G$1:$G$1001,,0)</f>
        <v>United States</v>
      </c>
      <c r="I336" t="str">
        <f>INDEX(products!$A$1:$G$49,MATCH($D336,products!$A$1:$A$49,0),MATCH(I$1,products!$A$1:$G$1,0))</f>
        <v>Rob</v>
      </c>
      <c r="J336" t="str">
        <f>INDEX(products!$A$1:$G$49,MATCH($D336,products!$A$1:$A$49,0),MATCH(J$1,products!$A$1:$G$1,0))</f>
        <v>L</v>
      </c>
      <c r="K336" s="4">
        <f>INDEX(products!$A$1:$G$49,MATCH($D336,products!$A$1:$A$49,0),MATCH(K$1,products!$A$1:$G$1,0))</f>
        <v>1</v>
      </c>
      <c r="L336" s="5">
        <f>INDEX(products!$A$1:$G$49,MATCH($D336,products!$A$1:$A$49,0),MATCH(L$1,products!$A$1:$G$1,0))</f>
        <v>11.95</v>
      </c>
      <c r="M336" s="5">
        <f t="shared" si="16"/>
        <v>59.75</v>
      </c>
      <c r="N336" t="str">
        <f t="shared" si="18"/>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INDEX(products!$A$1:$G$49,MATCH($D337,products!$A$1:$A$49,0),MATCH(I$1,products!$A$1:$G$1,0))</f>
        <v>Lib</v>
      </c>
      <c r="J337" t="str">
        <f>INDEX(products!$A$1:$G$49,MATCH($D337,products!$A$1:$A$49,0),MATCH(J$1,products!$A$1:$G$1,0))</f>
        <v>L</v>
      </c>
      <c r="K337" s="4">
        <f>INDEX(products!$A$1:$G$49,MATCH($D337,products!$A$1:$A$49,0),MATCH(K$1,products!$A$1:$G$1,0))</f>
        <v>0.2</v>
      </c>
      <c r="L337" s="5">
        <f>INDEX(products!$A$1:$G$49,MATCH($D337,products!$A$1:$A$49,0),MATCH(L$1,products!$A$1:$G$1,0))</f>
        <v>4.7549999999999999</v>
      </c>
      <c r="M337" s="5">
        <f t="shared" si="16"/>
        <v>28.53</v>
      </c>
      <c r="N337" t="str">
        <f t="shared" si="18"/>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INDEX(products!$A$1:$G$49,MATCH($D338,products!$A$1:$A$49,0),MATCH(I$1,products!$A$1:$G$1,0))</f>
        <v>Ara</v>
      </c>
      <c r="J338" t="str">
        <f>INDEX(products!$A$1:$G$49,MATCH($D338,products!$A$1:$A$49,0),MATCH(J$1,products!$A$1:$G$1,0))</f>
        <v>M</v>
      </c>
      <c r="K338" s="4">
        <f>INDEX(products!$A$1:$G$49,MATCH($D338,products!$A$1:$A$49,0),MATCH(K$1,products!$A$1:$G$1,0))</f>
        <v>1</v>
      </c>
      <c r="L338" s="5">
        <f>INDEX(products!$A$1:$G$49,MATCH($D338,products!$A$1:$A$49,0),MATCH(L$1,products!$A$1:$G$1,0))</f>
        <v>11.25</v>
      </c>
      <c r="M338" s="5">
        <f t="shared" si="16"/>
        <v>45</v>
      </c>
      <c r="N338" t="str">
        <f t="shared" si="18"/>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f>
        <v>Flynn Antony</v>
      </c>
      <c r="G339" s="2" t="str">
        <f>IF(_xlfn.XLOOKUP(C339,customers!$A$1:$A$1001,customers!$C$1:$C$1001,,0)=0,"",_xlfn.XLOOKUP(C339,customers!$A$1:$A$1001,customers!$C$1:$C$1001,,0))</f>
        <v/>
      </c>
      <c r="H339" s="2" t="str">
        <f>_xlfn.XLOOKUP(C339,customers!$A$1:$A$1001,customers!$G$1:$G$1001,,0)</f>
        <v>United States</v>
      </c>
      <c r="I339" t="str">
        <f>INDEX(products!$A$1:$G$49,MATCH($D339,products!$A$1:$A$49,0),MATCH(I$1,products!$A$1:$G$1,0))</f>
        <v>Exc</v>
      </c>
      <c r="J339" t="str">
        <f>INDEX(products!$A$1:$G$49,MATCH($D339,products!$A$1:$A$49,0),MATCH(J$1,products!$A$1:$G$1,0))</f>
        <v>D</v>
      </c>
      <c r="K339" s="4">
        <f>INDEX(products!$A$1:$G$49,MATCH($D339,products!$A$1:$A$49,0),MATCH(K$1,products!$A$1:$G$1,0))</f>
        <v>2.5</v>
      </c>
      <c r="L339" s="5">
        <f>INDEX(products!$A$1:$G$49,MATCH($D339,products!$A$1:$A$49,0),MATCH(L$1,products!$A$1:$G$1,0))</f>
        <v>27.945</v>
      </c>
      <c r="M339" s="5">
        <f t="shared" si="16"/>
        <v>55.89</v>
      </c>
      <c r="N339" t="str">
        <f t="shared" si="18"/>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INDEX(products!$A$1:$G$49,MATCH($D340,products!$A$1:$A$49,0),MATCH(I$1,products!$A$1:$G$1,0))</f>
        <v>Exc</v>
      </c>
      <c r="J340" t="str">
        <f>INDEX(products!$A$1:$G$49,MATCH($D340,products!$A$1:$A$49,0),MATCH(J$1,products!$A$1:$G$1,0))</f>
        <v>L</v>
      </c>
      <c r="K340" s="4">
        <f>INDEX(products!$A$1:$G$49,MATCH($D340,products!$A$1:$A$49,0),MATCH(K$1,products!$A$1:$G$1,0))</f>
        <v>1</v>
      </c>
      <c r="L340" s="5">
        <f>INDEX(products!$A$1:$G$49,MATCH($D340,products!$A$1:$A$49,0),MATCH(L$1,products!$A$1:$G$1,0))</f>
        <v>14.85</v>
      </c>
      <c r="M340" s="5">
        <f t="shared" si="16"/>
        <v>59.4</v>
      </c>
      <c r="N340" t="str">
        <f t="shared" si="18"/>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INDEX(products!$A$1:$G$49,MATCH($D341,products!$A$1:$A$49,0),MATCH(I$1,products!$A$1:$G$1,0))</f>
        <v>Exc</v>
      </c>
      <c r="J341" t="str">
        <f>INDEX(products!$A$1:$G$49,MATCH($D341,products!$A$1:$A$49,0),MATCH(J$1,products!$A$1:$G$1,0))</f>
        <v>D</v>
      </c>
      <c r="K341" s="4">
        <f>INDEX(products!$A$1:$G$49,MATCH($D341,products!$A$1:$A$49,0),MATCH(K$1,products!$A$1:$G$1,0))</f>
        <v>0.2</v>
      </c>
      <c r="L341" s="5">
        <f>INDEX(products!$A$1:$G$49,MATCH($D341,products!$A$1:$A$49,0),MATCH(L$1,products!$A$1:$G$1,0))</f>
        <v>3.645</v>
      </c>
      <c r="M341" s="5">
        <f t="shared" si="16"/>
        <v>7.29</v>
      </c>
      <c r="N341" t="str">
        <f t="shared" si="18"/>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INDEX(products!$A$1:$G$49,MATCH($D342,products!$A$1:$A$49,0),MATCH(I$1,products!$A$1:$G$1,0))</f>
        <v>Exc</v>
      </c>
      <c r="J342" t="str">
        <f>INDEX(products!$A$1:$G$49,MATCH($D342,products!$A$1:$A$49,0),MATCH(J$1,products!$A$1:$G$1,0))</f>
        <v>D</v>
      </c>
      <c r="K342" s="4">
        <f>INDEX(products!$A$1:$G$49,MATCH($D342,products!$A$1:$A$49,0),MATCH(K$1,products!$A$1:$G$1,0))</f>
        <v>0.5</v>
      </c>
      <c r="L342" s="5">
        <f>INDEX(products!$A$1:$G$49,MATCH($D342,products!$A$1:$A$49,0),MATCH(L$1,products!$A$1:$G$1,0))</f>
        <v>7.29</v>
      </c>
      <c r="M342" s="5">
        <f t="shared" si="16"/>
        <v>7.29</v>
      </c>
      <c r="N342" t="str">
        <f t="shared" si="18"/>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INDEX(products!$A$1:$G$49,MATCH($D343,products!$A$1:$A$49,0),MATCH(I$1,products!$A$1:$G$1,0))</f>
        <v>Exc</v>
      </c>
      <c r="J343" t="str">
        <f>INDEX(products!$A$1:$G$49,MATCH($D343,products!$A$1:$A$49,0),MATCH(J$1,products!$A$1:$G$1,0))</f>
        <v>L</v>
      </c>
      <c r="K343" s="4">
        <f>INDEX(products!$A$1:$G$49,MATCH($D343,products!$A$1:$A$49,0),MATCH(K$1,products!$A$1:$G$1,0))</f>
        <v>0.5</v>
      </c>
      <c r="L343" s="5">
        <f>INDEX(products!$A$1:$G$49,MATCH($D343,products!$A$1:$A$49,0),MATCH(L$1,products!$A$1:$G$1,0))</f>
        <v>8.91</v>
      </c>
      <c r="M343" s="5">
        <f t="shared" si="16"/>
        <v>17.82</v>
      </c>
      <c r="N343" t="str">
        <f t="shared" si="18"/>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INDEX(products!$A$1:$G$49,MATCH($D344,products!$A$1:$A$49,0),MATCH(I$1,products!$A$1:$G$1,0))</f>
        <v>Lib</v>
      </c>
      <c r="J344" t="str">
        <f>INDEX(products!$A$1:$G$49,MATCH($D344,products!$A$1:$A$49,0),MATCH(J$1,products!$A$1:$G$1,0))</f>
        <v>D</v>
      </c>
      <c r="K344" s="4">
        <f>INDEX(products!$A$1:$G$49,MATCH($D344,products!$A$1:$A$49,0),MATCH(K$1,products!$A$1:$G$1,0))</f>
        <v>0.5</v>
      </c>
      <c r="L344" s="5">
        <f>INDEX(products!$A$1:$G$49,MATCH($D344,products!$A$1:$A$49,0),MATCH(L$1,products!$A$1:$G$1,0))</f>
        <v>7.77</v>
      </c>
      <c r="M344" s="5">
        <f t="shared" si="16"/>
        <v>38.849999999999994</v>
      </c>
      <c r="N344" t="str">
        <f t="shared" si="18"/>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INDEX(products!$A$1:$G$49,MATCH($D345,products!$A$1:$A$49,0),MATCH(I$1,products!$A$1:$G$1,0))</f>
        <v>Rob</v>
      </c>
      <c r="J345" t="str">
        <f>INDEX(products!$A$1:$G$49,MATCH($D345,products!$A$1:$A$49,0),MATCH(J$1,products!$A$1:$G$1,0))</f>
        <v>D</v>
      </c>
      <c r="K345" s="4">
        <f>INDEX(products!$A$1:$G$49,MATCH($D345,products!$A$1:$A$49,0),MATCH(K$1,products!$A$1:$G$1,0))</f>
        <v>0.5</v>
      </c>
      <c r="L345" s="5">
        <f>INDEX(products!$A$1:$G$49,MATCH($D345,products!$A$1:$A$49,0),MATCH(L$1,products!$A$1:$G$1,0))</f>
        <v>5.3699999999999992</v>
      </c>
      <c r="M345" s="5">
        <f t="shared" si="16"/>
        <v>32.22</v>
      </c>
      <c r="N345" t="str">
        <f t="shared" si="18"/>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f>
        <v>Catarina Donn</v>
      </c>
      <c r="G346" s="2" t="str">
        <f>IF(_xlfn.XLOOKUP(C346,customers!$A$1:$A$1001,customers!$C$1:$C$1001,,0)=0,"",_xlfn.XLOOKUP(C346,customers!$A$1:$A$1001,customers!$C$1:$C$1001,,0))</f>
        <v/>
      </c>
      <c r="H346" s="2" t="str">
        <f>_xlfn.XLOOKUP(C346,customers!$A$1:$A$1001,customers!$G$1:$G$1001,,0)</f>
        <v>Ireland</v>
      </c>
      <c r="I346" t="str">
        <f>INDEX(products!$A$1:$G$49,MATCH($D346,products!$A$1:$A$49,0),MATCH(I$1,products!$A$1:$G$1,0))</f>
        <v>Rob</v>
      </c>
      <c r="J346" t="str">
        <f>INDEX(products!$A$1:$G$49,MATCH($D346,products!$A$1:$A$49,0),MATCH(J$1,products!$A$1:$G$1,0))</f>
        <v>M</v>
      </c>
      <c r="K346" s="4">
        <f>INDEX(products!$A$1:$G$49,MATCH($D346,products!$A$1:$A$49,0),MATCH(K$1,products!$A$1:$G$1,0))</f>
        <v>1</v>
      </c>
      <c r="L346" s="5">
        <f>INDEX(products!$A$1:$G$49,MATCH($D346,products!$A$1:$A$49,0),MATCH(L$1,products!$A$1:$G$1,0))</f>
        <v>9.9499999999999993</v>
      </c>
      <c r="M346" s="5">
        <f t="shared" si="16"/>
        <v>19.899999999999999</v>
      </c>
      <c r="N346" t="str">
        <f t="shared" si="18"/>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INDEX(products!$A$1:$G$49,MATCH($D347,products!$A$1:$A$49,0),MATCH(I$1,products!$A$1:$G$1,0))</f>
        <v>Rob</v>
      </c>
      <c r="J347" t="str">
        <f>INDEX(products!$A$1:$G$49,MATCH($D347,products!$A$1:$A$49,0),MATCH(J$1,products!$A$1:$G$1,0))</f>
        <v>L</v>
      </c>
      <c r="K347" s="4">
        <f>INDEX(products!$A$1:$G$49,MATCH($D347,products!$A$1:$A$49,0),MATCH(K$1,products!$A$1:$G$1,0))</f>
        <v>1</v>
      </c>
      <c r="L347" s="5">
        <f>INDEX(products!$A$1:$G$49,MATCH($D347,products!$A$1:$A$49,0),MATCH(L$1,products!$A$1:$G$1,0))</f>
        <v>11.95</v>
      </c>
      <c r="M347" s="5">
        <f t="shared" si="16"/>
        <v>59.75</v>
      </c>
      <c r="N347" t="str">
        <f t="shared" si="18"/>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INDEX(products!$A$1:$G$49,MATCH($D348,products!$A$1:$A$49,0),MATCH(I$1,products!$A$1:$G$1,0))</f>
        <v>Ara</v>
      </c>
      <c r="J348" t="str">
        <f>INDEX(products!$A$1:$G$49,MATCH($D348,products!$A$1:$A$49,0),MATCH(J$1,products!$A$1:$G$1,0))</f>
        <v>L</v>
      </c>
      <c r="K348" s="4">
        <f>INDEX(products!$A$1:$G$49,MATCH($D348,products!$A$1:$A$49,0),MATCH(K$1,products!$A$1:$G$1,0))</f>
        <v>0.5</v>
      </c>
      <c r="L348" s="5">
        <f>INDEX(products!$A$1:$G$49,MATCH($D348,products!$A$1:$A$49,0),MATCH(L$1,products!$A$1:$G$1,0))</f>
        <v>7.77</v>
      </c>
      <c r="M348" s="5">
        <f t="shared" si="16"/>
        <v>23.31</v>
      </c>
      <c r="N348" t="str">
        <f t="shared" si="18"/>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INDEX(products!$A$1:$G$49,MATCH($D349,products!$A$1:$A$49,0),MATCH(I$1,products!$A$1:$G$1,0))</f>
        <v>Lib</v>
      </c>
      <c r="J349" t="str">
        <f>INDEX(products!$A$1:$G$49,MATCH($D349,products!$A$1:$A$49,0),MATCH(J$1,products!$A$1:$G$1,0))</f>
        <v>M</v>
      </c>
      <c r="K349" s="4">
        <f>INDEX(products!$A$1:$G$49,MATCH($D349,products!$A$1:$A$49,0),MATCH(K$1,products!$A$1:$G$1,0))</f>
        <v>1</v>
      </c>
      <c r="L349" s="5">
        <f>INDEX(products!$A$1:$G$49,MATCH($D349,products!$A$1:$A$49,0),MATCH(L$1,products!$A$1:$G$1,0))</f>
        <v>14.55</v>
      </c>
      <c r="M349" s="5">
        <f t="shared" si="16"/>
        <v>43.650000000000006</v>
      </c>
      <c r="N349" t="str">
        <f t="shared" si="18"/>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INDEX(products!$A$1:$G$49,MATCH($D350,products!$A$1:$A$49,0),MATCH(I$1,products!$A$1:$G$1,0))</f>
        <v>Exc</v>
      </c>
      <c r="J350" t="str">
        <f>INDEX(products!$A$1:$G$49,MATCH($D350,products!$A$1:$A$49,0),MATCH(J$1,products!$A$1:$G$1,0))</f>
        <v>L</v>
      </c>
      <c r="K350" s="4">
        <f>INDEX(products!$A$1:$G$49,MATCH($D350,products!$A$1:$A$49,0),MATCH(K$1,products!$A$1:$G$1,0))</f>
        <v>2.5</v>
      </c>
      <c r="L350" s="5">
        <f>INDEX(products!$A$1:$G$49,MATCH($D350,products!$A$1:$A$49,0),MATCH(L$1,products!$A$1:$G$1,0))</f>
        <v>34.154999999999994</v>
      </c>
      <c r="M350" s="5">
        <f t="shared" si="16"/>
        <v>204.92999999999995</v>
      </c>
      <c r="N350" t="str">
        <f t="shared" si="18"/>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INDEX(products!$A$1:$G$49,MATCH($D351,products!$A$1:$A$49,0),MATCH(I$1,products!$A$1:$G$1,0))</f>
        <v>Rob</v>
      </c>
      <c r="J351" t="str">
        <f>INDEX(products!$A$1:$G$49,MATCH($D351,products!$A$1:$A$49,0),MATCH(J$1,products!$A$1:$G$1,0))</f>
        <v>L</v>
      </c>
      <c r="K351" s="4">
        <f>INDEX(products!$A$1:$G$49,MATCH($D351,products!$A$1:$A$49,0),MATCH(K$1,products!$A$1:$G$1,0))</f>
        <v>0.2</v>
      </c>
      <c r="L351" s="5">
        <f>INDEX(products!$A$1:$G$49,MATCH($D351,products!$A$1:$A$49,0),MATCH(L$1,products!$A$1:$G$1,0))</f>
        <v>3.5849999999999995</v>
      </c>
      <c r="M351" s="5">
        <f t="shared" si="16"/>
        <v>14.339999999999998</v>
      </c>
      <c r="N351" t="str">
        <f t="shared" si="18"/>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INDEX(products!$A$1:$G$49,MATCH($D352,products!$A$1:$A$49,0),MATCH(I$1,products!$A$1:$G$1,0))</f>
        <v>Ara</v>
      </c>
      <c r="J352" t="str">
        <f>INDEX(products!$A$1:$G$49,MATCH($D352,products!$A$1:$A$49,0),MATCH(J$1,products!$A$1:$G$1,0))</f>
        <v>D</v>
      </c>
      <c r="K352" s="4">
        <f>INDEX(products!$A$1:$G$49,MATCH($D352,products!$A$1:$A$49,0),MATCH(K$1,products!$A$1:$G$1,0))</f>
        <v>0.5</v>
      </c>
      <c r="L352" s="5">
        <f>INDEX(products!$A$1:$G$49,MATCH($D352,products!$A$1:$A$49,0),MATCH(L$1,products!$A$1:$G$1,0))</f>
        <v>5.97</v>
      </c>
      <c r="M352" s="5">
        <f t="shared" si="16"/>
        <v>23.88</v>
      </c>
      <c r="N352" t="str">
        <f t="shared" si="18"/>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INDEX(products!$A$1:$G$49,MATCH($D353,products!$A$1:$A$49,0),MATCH(I$1,products!$A$1:$G$1,0))</f>
        <v>Ara</v>
      </c>
      <c r="J353" t="str">
        <f>INDEX(products!$A$1:$G$49,MATCH($D353,products!$A$1:$A$49,0),MATCH(J$1,products!$A$1:$G$1,0))</f>
        <v>M</v>
      </c>
      <c r="K353" s="4">
        <f>INDEX(products!$A$1:$G$49,MATCH($D353,products!$A$1:$A$49,0),MATCH(K$1,products!$A$1:$G$1,0))</f>
        <v>1</v>
      </c>
      <c r="L353" s="5">
        <f>INDEX(products!$A$1:$G$49,MATCH($D353,products!$A$1:$A$49,0),MATCH(L$1,products!$A$1:$G$1,0))</f>
        <v>11.25</v>
      </c>
      <c r="M353" s="5">
        <f t="shared" si="16"/>
        <v>22.5</v>
      </c>
      <c r="N353" t="str">
        <f t="shared" si="18"/>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f>
        <v>Flynn Antony</v>
      </c>
      <c r="G354" s="2" t="str">
        <f>IF(_xlfn.XLOOKUP(C354,customers!$A$1:$A$1001,customers!$C$1:$C$1001,,0)=0,"",_xlfn.XLOOKUP(C354,customers!$A$1:$A$1001,customers!$C$1:$C$1001,,0))</f>
        <v/>
      </c>
      <c r="H354" s="2" t="str">
        <f>_xlfn.XLOOKUP(C354,customers!$A$1:$A$1001,customers!$G$1:$G$1001,,0)</f>
        <v>United States</v>
      </c>
      <c r="I354" t="str">
        <f>INDEX(products!$A$1:$G$49,MATCH($D354,products!$A$1:$A$49,0),MATCH(I$1,products!$A$1:$G$1,0))</f>
        <v>Exc</v>
      </c>
      <c r="J354" t="str">
        <f>INDEX(products!$A$1:$G$49,MATCH($D354,products!$A$1:$A$49,0),MATCH(J$1,products!$A$1:$G$1,0))</f>
        <v>D</v>
      </c>
      <c r="K354" s="4">
        <f>INDEX(products!$A$1:$G$49,MATCH($D354,products!$A$1:$A$49,0),MATCH(K$1,products!$A$1:$G$1,0))</f>
        <v>0.5</v>
      </c>
      <c r="L354" s="5">
        <f>INDEX(products!$A$1:$G$49,MATCH($D354,products!$A$1:$A$49,0),MATCH(L$1,products!$A$1:$G$1,0))</f>
        <v>7.29</v>
      </c>
      <c r="M354" s="5">
        <f t="shared" si="16"/>
        <v>36.450000000000003</v>
      </c>
      <c r="N354" t="str">
        <f t="shared" si="18"/>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f>
        <v>Maitilde Boxill</v>
      </c>
      <c r="G355" s="2" t="str">
        <f>IF(_xlfn.XLOOKUP(C355,customers!$A$1:$A$1001,customers!$C$1:$C$1001,,0)=0,"",_xlfn.XLOOKUP(C355,customers!$A$1:$A$1001,customers!$C$1:$C$1001,,0))</f>
        <v/>
      </c>
      <c r="H355" s="2" t="str">
        <f>_xlfn.XLOOKUP(C355,customers!$A$1:$A$1001,customers!$G$1:$G$1001,,0)</f>
        <v>United States</v>
      </c>
      <c r="I355" t="str">
        <f>INDEX(products!$A$1:$G$49,MATCH($D355,products!$A$1:$A$49,0),MATCH(I$1,products!$A$1:$G$1,0))</f>
        <v>Ara</v>
      </c>
      <c r="J355" t="str">
        <f>INDEX(products!$A$1:$G$49,MATCH($D355,products!$A$1:$A$49,0),MATCH(J$1,products!$A$1:$G$1,0))</f>
        <v>M</v>
      </c>
      <c r="K355" s="4">
        <f>INDEX(products!$A$1:$G$49,MATCH($D355,products!$A$1:$A$49,0),MATCH(K$1,products!$A$1:$G$1,0))</f>
        <v>0.5</v>
      </c>
      <c r="L355" s="5">
        <f>INDEX(products!$A$1:$G$49,MATCH($D355,products!$A$1:$A$49,0),MATCH(L$1,products!$A$1:$G$1,0))</f>
        <v>6.75</v>
      </c>
      <c r="M355" s="5">
        <f t="shared" si="16"/>
        <v>27</v>
      </c>
      <c r="N355" t="str">
        <f t="shared" si="18"/>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INDEX(products!$A$1:$G$49,MATCH($D356,products!$A$1:$A$49,0),MATCH(I$1,products!$A$1:$G$1,0))</f>
        <v>Ara</v>
      </c>
      <c r="J356" t="str">
        <f>INDEX(products!$A$1:$G$49,MATCH($D356,products!$A$1:$A$49,0),MATCH(J$1,products!$A$1:$G$1,0))</f>
        <v>M</v>
      </c>
      <c r="K356" s="4">
        <f>INDEX(products!$A$1:$G$49,MATCH($D356,products!$A$1:$A$49,0),MATCH(K$1,products!$A$1:$G$1,0))</f>
        <v>2.5</v>
      </c>
      <c r="L356" s="5">
        <f>INDEX(products!$A$1:$G$49,MATCH($D356,products!$A$1:$A$49,0),MATCH(L$1,products!$A$1:$G$1,0))</f>
        <v>25.874999999999996</v>
      </c>
      <c r="M356" s="5">
        <f t="shared" si="16"/>
        <v>155.24999999999997</v>
      </c>
      <c r="N356" t="str">
        <f t="shared" si="18"/>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INDEX(products!$A$1:$G$49,MATCH($D357,products!$A$1:$A$49,0),MATCH(I$1,products!$A$1:$G$1,0))</f>
        <v>Ara</v>
      </c>
      <c r="J357" t="str">
        <f>INDEX(products!$A$1:$G$49,MATCH($D357,products!$A$1:$A$49,0),MATCH(J$1,products!$A$1:$G$1,0))</f>
        <v>D</v>
      </c>
      <c r="K357" s="4">
        <f>INDEX(products!$A$1:$G$49,MATCH($D357,products!$A$1:$A$49,0),MATCH(K$1,products!$A$1:$G$1,0))</f>
        <v>2.5</v>
      </c>
      <c r="L357" s="5">
        <f>INDEX(products!$A$1:$G$49,MATCH($D357,products!$A$1:$A$49,0),MATCH(L$1,products!$A$1:$G$1,0))</f>
        <v>22.884999999999998</v>
      </c>
      <c r="M357" s="5">
        <f t="shared" si="16"/>
        <v>114.42499999999998</v>
      </c>
      <c r="N357" t="str">
        <f t="shared" si="18"/>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INDEX(products!$A$1:$G$49,MATCH($D358,products!$A$1:$A$49,0),MATCH(I$1,products!$A$1:$G$1,0))</f>
        <v>Lib</v>
      </c>
      <c r="J358" t="str">
        <f>INDEX(products!$A$1:$G$49,MATCH($D358,products!$A$1:$A$49,0),MATCH(J$1,products!$A$1:$G$1,0))</f>
        <v>D</v>
      </c>
      <c r="K358" s="4">
        <f>INDEX(products!$A$1:$G$49,MATCH($D358,products!$A$1:$A$49,0),MATCH(K$1,products!$A$1:$G$1,0))</f>
        <v>1</v>
      </c>
      <c r="L358" s="5">
        <f>INDEX(products!$A$1:$G$49,MATCH($D358,products!$A$1:$A$49,0),MATCH(L$1,products!$A$1:$G$1,0))</f>
        <v>12.95</v>
      </c>
      <c r="M358" s="5">
        <f t="shared" si="16"/>
        <v>51.8</v>
      </c>
      <c r="N358" t="str">
        <f t="shared" si="18"/>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f>
        <v>Enriqueta Ixor</v>
      </c>
      <c r="G359" s="2" t="str">
        <f>IF(_xlfn.XLOOKUP(C359,customers!$A$1:$A$1001,customers!$C$1:$C$1001,,0)=0,"",_xlfn.XLOOKUP(C359,customers!$A$1:$A$1001,customers!$C$1:$C$1001,,0))</f>
        <v/>
      </c>
      <c r="H359" s="2" t="str">
        <f>_xlfn.XLOOKUP(C359,customers!$A$1:$A$1001,customers!$G$1:$G$1001,,0)</f>
        <v>United States</v>
      </c>
      <c r="I359" t="str">
        <f>INDEX(products!$A$1:$G$49,MATCH($D359,products!$A$1:$A$49,0),MATCH(I$1,products!$A$1:$G$1,0))</f>
        <v>Ara</v>
      </c>
      <c r="J359" t="str">
        <f>INDEX(products!$A$1:$G$49,MATCH($D359,products!$A$1:$A$49,0),MATCH(J$1,products!$A$1:$G$1,0))</f>
        <v>M</v>
      </c>
      <c r="K359" s="4">
        <f>INDEX(products!$A$1:$G$49,MATCH($D359,products!$A$1:$A$49,0),MATCH(K$1,products!$A$1:$G$1,0))</f>
        <v>2.5</v>
      </c>
      <c r="L359" s="5">
        <f>INDEX(products!$A$1:$G$49,MATCH($D359,products!$A$1:$A$49,0),MATCH(L$1,products!$A$1:$G$1,0))</f>
        <v>25.874999999999996</v>
      </c>
      <c r="M359" s="5">
        <f t="shared" si="16"/>
        <v>155.24999999999997</v>
      </c>
      <c r="N359" t="str">
        <f t="shared" si="18"/>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INDEX(products!$A$1:$G$49,MATCH($D360,products!$A$1:$A$49,0),MATCH(I$1,products!$A$1:$G$1,0))</f>
        <v>Ara</v>
      </c>
      <c r="J360" t="str">
        <f>INDEX(products!$A$1:$G$49,MATCH($D360,products!$A$1:$A$49,0),MATCH(J$1,products!$A$1:$G$1,0))</f>
        <v>L</v>
      </c>
      <c r="K360" s="4">
        <f>INDEX(products!$A$1:$G$49,MATCH($D360,products!$A$1:$A$49,0),MATCH(K$1,products!$A$1:$G$1,0))</f>
        <v>2.5</v>
      </c>
      <c r="L360" s="5">
        <f>INDEX(products!$A$1:$G$49,MATCH($D360,products!$A$1:$A$49,0),MATCH(L$1,products!$A$1:$G$1,0))</f>
        <v>29.784999999999997</v>
      </c>
      <c r="M360" s="5">
        <f t="shared" si="16"/>
        <v>29.784999999999997</v>
      </c>
      <c r="N360" t="str">
        <f t="shared" si="18"/>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INDEX(products!$A$1:$G$49,MATCH($D361,products!$A$1:$A$49,0),MATCH(I$1,products!$A$1:$G$1,0))</f>
        <v>Rob</v>
      </c>
      <c r="J361" t="str">
        <f>INDEX(products!$A$1:$G$49,MATCH($D361,products!$A$1:$A$49,0),MATCH(J$1,products!$A$1:$G$1,0))</f>
        <v>L</v>
      </c>
      <c r="K361" s="4">
        <f>INDEX(products!$A$1:$G$49,MATCH($D361,products!$A$1:$A$49,0),MATCH(K$1,products!$A$1:$G$1,0))</f>
        <v>0.2</v>
      </c>
      <c r="L361" s="5">
        <f>INDEX(products!$A$1:$G$49,MATCH($D361,products!$A$1:$A$49,0),MATCH(L$1,products!$A$1:$G$1,0))</f>
        <v>3.5849999999999995</v>
      </c>
      <c r="M361" s="5">
        <f t="shared" si="16"/>
        <v>21.509999999999998</v>
      </c>
      <c r="N361" t="str">
        <f t="shared" si="18"/>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INDEX(products!$A$1:$G$49,MATCH($D362,products!$A$1:$A$49,0),MATCH(I$1,products!$A$1:$G$1,0))</f>
        <v>Rob</v>
      </c>
      <c r="J362" t="str">
        <f>INDEX(products!$A$1:$G$49,MATCH($D362,products!$A$1:$A$49,0),MATCH(J$1,products!$A$1:$G$1,0))</f>
        <v>D</v>
      </c>
      <c r="K362" s="4">
        <f>INDEX(products!$A$1:$G$49,MATCH($D362,products!$A$1:$A$49,0),MATCH(K$1,products!$A$1:$G$1,0))</f>
        <v>2.5</v>
      </c>
      <c r="L362" s="5">
        <f>INDEX(products!$A$1:$G$49,MATCH($D362,products!$A$1:$A$49,0),MATCH(L$1,products!$A$1:$G$1,0))</f>
        <v>20.584999999999997</v>
      </c>
      <c r="M362" s="5">
        <f t="shared" si="16"/>
        <v>41.169999999999995</v>
      </c>
      <c r="N362" t="str">
        <f t="shared" si="18"/>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INDEX(products!$A$1:$G$49,MATCH($D363,products!$A$1:$A$49,0),MATCH(I$1,products!$A$1:$G$1,0))</f>
        <v>Rob</v>
      </c>
      <c r="J363" t="str">
        <f>INDEX(products!$A$1:$G$49,MATCH($D363,products!$A$1:$A$49,0),MATCH(J$1,products!$A$1:$G$1,0))</f>
        <v>M</v>
      </c>
      <c r="K363" s="4">
        <f>INDEX(products!$A$1:$G$49,MATCH($D363,products!$A$1:$A$49,0),MATCH(K$1,products!$A$1:$G$1,0))</f>
        <v>0.5</v>
      </c>
      <c r="L363" s="5">
        <f>INDEX(products!$A$1:$G$49,MATCH($D363,products!$A$1:$A$49,0),MATCH(L$1,products!$A$1:$G$1,0))</f>
        <v>5.97</v>
      </c>
      <c r="M363" s="5">
        <f t="shared" si="16"/>
        <v>5.97</v>
      </c>
      <c r="N363" t="str">
        <f t="shared" si="18"/>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INDEX(products!$A$1:$G$49,MATCH($D364,products!$A$1:$A$49,0),MATCH(I$1,products!$A$1:$G$1,0))</f>
        <v>Exc</v>
      </c>
      <c r="J364" t="str">
        <f>INDEX(products!$A$1:$G$49,MATCH($D364,products!$A$1:$A$49,0),MATCH(J$1,products!$A$1:$G$1,0))</f>
        <v>L</v>
      </c>
      <c r="K364" s="4">
        <f>INDEX(products!$A$1:$G$49,MATCH($D364,products!$A$1:$A$49,0),MATCH(K$1,products!$A$1:$G$1,0))</f>
        <v>1</v>
      </c>
      <c r="L364" s="5">
        <f>INDEX(products!$A$1:$G$49,MATCH($D364,products!$A$1:$A$49,0),MATCH(L$1,products!$A$1:$G$1,0))</f>
        <v>14.85</v>
      </c>
      <c r="M364" s="5">
        <f t="shared" si="16"/>
        <v>74.25</v>
      </c>
      <c r="N364" t="str">
        <f t="shared" si="18"/>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INDEX(products!$A$1:$G$49,MATCH($D365,products!$A$1:$A$49,0),MATCH(I$1,products!$A$1:$G$1,0))</f>
        <v>Lib</v>
      </c>
      <c r="J365" t="str">
        <f>INDEX(products!$A$1:$G$49,MATCH($D365,products!$A$1:$A$49,0),MATCH(J$1,products!$A$1:$G$1,0))</f>
        <v>M</v>
      </c>
      <c r="K365" s="4">
        <f>INDEX(products!$A$1:$G$49,MATCH($D365,products!$A$1:$A$49,0),MATCH(K$1,products!$A$1:$G$1,0))</f>
        <v>1</v>
      </c>
      <c r="L365" s="5">
        <f>INDEX(products!$A$1:$G$49,MATCH($D365,products!$A$1:$A$49,0),MATCH(L$1,products!$A$1:$G$1,0))</f>
        <v>14.55</v>
      </c>
      <c r="M365" s="5">
        <f t="shared" si="16"/>
        <v>87.300000000000011</v>
      </c>
      <c r="N365" t="str">
        <f t="shared" si="18"/>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INDEX(products!$A$1:$G$49,MATCH($D366,products!$A$1:$A$49,0),MATCH(I$1,products!$A$1:$G$1,0))</f>
        <v>Exc</v>
      </c>
      <c r="J366" t="str">
        <f>INDEX(products!$A$1:$G$49,MATCH($D366,products!$A$1:$A$49,0),MATCH(J$1,products!$A$1:$G$1,0))</f>
        <v>D</v>
      </c>
      <c r="K366" s="4">
        <f>INDEX(products!$A$1:$G$49,MATCH($D366,products!$A$1:$A$49,0),MATCH(K$1,products!$A$1:$G$1,0))</f>
        <v>1</v>
      </c>
      <c r="L366" s="5">
        <f>INDEX(products!$A$1:$G$49,MATCH($D366,products!$A$1:$A$49,0),MATCH(L$1,products!$A$1:$G$1,0))</f>
        <v>12.15</v>
      </c>
      <c r="M366" s="5">
        <f t="shared" si="16"/>
        <v>72.900000000000006</v>
      </c>
      <c r="N366" t="str">
        <f t="shared" si="18"/>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INDEX(products!$A$1:$G$49,MATCH($D367,products!$A$1:$A$49,0),MATCH(I$1,products!$A$1:$G$1,0))</f>
        <v>Lib</v>
      </c>
      <c r="J367" t="str">
        <f>INDEX(products!$A$1:$G$49,MATCH($D367,products!$A$1:$A$49,0),MATCH(J$1,products!$A$1:$G$1,0))</f>
        <v>D</v>
      </c>
      <c r="K367" s="4">
        <f>INDEX(products!$A$1:$G$49,MATCH($D367,products!$A$1:$A$49,0),MATCH(K$1,products!$A$1:$G$1,0))</f>
        <v>0.5</v>
      </c>
      <c r="L367" s="5">
        <f>INDEX(products!$A$1:$G$49,MATCH($D367,products!$A$1:$A$49,0),MATCH(L$1,products!$A$1:$G$1,0))</f>
        <v>7.77</v>
      </c>
      <c r="M367" s="5">
        <f t="shared" si="16"/>
        <v>7.77</v>
      </c>
      <c r="N367" t="str">
        <f t="shared" si="18"/>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f>
        <v>Saree Ellesworth</v>
      </c>
      <c r="G368" s="2" t="str">
        <f>IF(_xlfn.XLOOKUP(C368,customers!$A$1:$A$1001,customers!$C$1:$C$1001,,0)=0,"",_xlfn.XLOOKUP(C368,customers!$A$1:$A$1001,customers!$C$1:$C$1001,,0))</f>
        <v/>
      </c>
      <c r="H368" s="2" t="str">
        <f>_xlfn.XLOOKUP(C368,customers!$A$1:$A$1001,customers!$G$1:$G$1001,,0)</f>
        <v>United States</v>
      </c>
      <c r="I368" t="str">
        <f>INDEX(products!$A$1:$G$49,MATCH($D368,products!$A$1:$A$49,0),MATCH(I$1,products!$A$1:$G$1,0))</f>
        <v>Exc</v>
      </c>
      <c r="J368" t="str">
        <f>INDEX(products!$A$1:$G$49,MATCH($D368,products!$A$1:$A$49,0),MATCH(J$1,products!$A$1:$G$1,0))</f>
        <v>D</v>
      </c>
      <c r="K368" s="4">
        <f>INDEX(products!$A$1:$G$49,MATCH($D368,products!$A$1:$A$49,0),MATCH(K$1,products!$A$1:$G$1,0))</f>
        <v>0.5</v>
      </c>
      <c r="L368" s="5">
        <f>INDEX(products!$A$1:$G$49,MATCH($D368,products!$A$1:$A$49,0),MATCH(L$1,products!$A$1:$G$1,0))</f>
        <v>7.29</v>
      </c>
      <c r="M368" s="5">
        <f t="shared" si="16"/>
        <v>43.74</v>
      </c>
      <c r="N368" t="str">
        <f t="shared" si="18"/>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f>
        <v>Silvio Iorizzi</v>
      </c>
      <c r="G369" s="2" t="str">
        <f>IF(_xlfn.XLOOKUP(C369,customers!$A$1:$A$1001,customers!$C$1:$C$1001,,0)=0,"",_xlfn.XLOOKUP(C369,customers!$A$1:$A$1001,customers!$C$1:$C$1001,,0))</f>
        <v/>
      </c>
      <c r="H369" s="2" t="str">
        <f>_xlfn.XLOOKUP(C369,customers!$A$1:$A$1001,customers!$G$1:$G$1001,,0)</f>
        <v>United States</v>
      </c>
      <c r="I369" t="str">
        <f>INDEX(products!$A$1:$G$49,MATCH($D369,products!$A$1:$A$49,0),MATCH(I$1,products!$A$1:$G$1,0))</f>
        <v>Lib</v>
      </c>
      <c r="J369" t="str">
        <f>INDEX(products!$A$1:$G$49,MATCH($D369,products!$A$1:$A$49,0),MATCH(J$1,products!$A$1:$G$1,0))</f>
        <v>M</v>
      </c>
      <c r="K369" s="4">
        <f>INDEX(products!$A$1:$G$49,MATCH($D369,products!$A$1:$A$49,0),MATCH(K$1,products!$A$1:$G$1,0))</f>
        <v>0.2</v>
      </c>
      <c r="L369" s="5">
        <f>INDEX(products!$A$1:$G$49,MATCH($D369,products!$A$1:$A$49,0),MATCH(L$1,products!$A$1:$G$1,0))</f>
        <v>4.3650000000000002</v>
      </c>
      <c r="M369" s="5">
        <f t="shared" si="16"/>
        <v>8.73</v>
      </c>
      <c r="N369" t="str">
        <f t="shared" si="18"/>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INDEX(products!$A$1:$G$49,MATCH($D370,products!$A$1:$A$49,0),MATCH(I$1,products!$A$1:$G$1,0))</f>
        <v>Exc</v>
      </c>
      <c r="J370" t="str">
        <f>INDEX(products!$A$1:$G$49,MATCH($D370,products!$A$1:$A$49,0),MATCH(J$1,products!$A$1:$G$1,0))</f>
        <v>M</v>
      </c>
      <c r="K370" s="4">
        <f>INDEX(products!$A$1:$G$49,MATCH($D370,products!$A$1:$A$49,0),MATCH(K$1,products!$A$1:$G$1,0))</f>
        <v>2.5</v>
      </c>
      <c r="L370" s="5">
        <f>INDEX(products!$A$1:$G$49,MATCH($D370,products!$A$1:$A$49,0),MATCH(L$1,products!$A$1:$G$1,0))</f>
        <v>31.624999999999996</v>
      </c>
      <c r="M370" s="5">
        <f t="shared" si="16"/>
        <v>63.249999999999993</v>
      </c>
      <c r="N370" t="str">
        <f t="shared" si="18"/>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f>
        <v>Abba Pummell</v>
      </c>
      <c r="G371" s="2" t="str">
        <f>IF(_xlfn.XLOOKUP(C371,customers!$A$1:$A$1001,customers!$C$1:$C$1001,,0)=0,"",_xlfn.XLOOKUP(C371,customers!$A$1:$A$1001,customers!$C$1:$C$1001,,0))</f>
        <v/>
      </c>
      <c r="H371" s="2" t="str">
        <f>_xlfn.XLOOKUP(C371,customers!$A$1:$A$1001,customers!$G$1:$G$1001,,0)</f>
        <v>United States</v>
      </c>
      <c r="I371" t="str">
        <f>INDEX(products!$A$1:$G$49,MATCH($D371,products!$A$1:$A$49,0),MATCH(I$1,products!$A$1:$G$1,0))</f>
        <v>Exc</v>
      </c>
      <c r="J371" t="str">
        <f>INDEX(products!$A$1:$G$49,MATCH($D371,products!$A$1:$A$49,0),MATCH(J$1,products!$A$1:$G$1,0))</f>
        <v>L</v>
      </c>
      <c r="K371" s="4">
        <f>INDEX(products!$A$1:$G$49,MATCH($D371,products!$A$1:$A$49,0),MATCH(K$1,products!$A$1:$G$1,0))</f>
        <v>0.5</v>
      </c>
      <c r="L371" s="5">
        <f>INDEX(products!$A$1:$G$49,MATCH($D371,products!$A$1:$A$49,0),MATCH(L$1,products!$A$1:$G$1,0))</f>
        <v>8.91</v>
      </c>
      <c r="M371" s="5">
        <f t="shared" si="16"/>
        <v>8.91</v>
      </c>
      <c r="N371" t="str">
        <f t="shared" si="18"/>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INDEX(products!$A$1:$G$49,MATCH($D372,products!$A$1:$A$49,0),MATCH(I$1,products!$A$1:$G$1,0))</f>
        <v>Exc</v>
      </c>
      <c r="J372" t="str">
        <f>INDEX(products!$A$1:$G$49,MATCH($D372,products!$A$1:$A$49,0),MATCH(J$1,products!$A$1:$G$1,0))</f>
        <v>D</v>
      </c>
      <c r="K372" s="4">
        <f>INDEX(products!$A$1:$G$49,MATCH($D372,products!$A$1:$A$49,0),MATCH(K$1,products!$A$1:$G$1,0))</f>
        <v>1</v>
      </c>
      <c r="L372" s="5">
        <f>INDEX(products!$A$1:$G$49,MATCH($D372,products!$A$1:$A$49,0),MATCH(L$1,products!$A$1:$G$1,0))</f>
        <v>12.15</v>
      </c>
      <c r="M372" s="5">
        <f t="shared" si="16"/>
        <v>24.3</v>
      </c>
      <c r="N372" t="str">
        <f t="shared" si="18"/>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INDEX(products!$A$1:$G$49,MATCH($D373,products!$A$1:$A$49,0),MATCH(I$1,products!$A$1:$G$1,0))</f>
        <v>Ara</v>
      </c>
      <c r="J373" t="str">
        <f>INDEX(products!$A$1:$G$49,MATCH($D373,products!$A$1:$A$49,0),MATCH(J$1,products!$A$1:$G$1,0))</f>
        <v>L</v>
      </c>
      <c r="K373" s="4">
        <f>INDEX(products!$A$1:$G$49,MATCH($D373,products!$A$1:$A$49,0),MATCH(K$1,products!$A$1:$G$1,0))</f>
        <v>0.5</v>
      </c>
      <c r="L373" s="5">
        <f>INDEX(products!$A$1:$G$49,MATCH($D373,products!$A$1:$A$49,0),MATCH(L$1,products!$A$1:$G$1,0))</f>
        <v>7.77</v>
      </c>
      <c r="M373" s="5">
        <f t="shared" si="16"/>
        <v>46.62</v>
      </c>
      <c r="N373" t="str">
        <f t="shared" si="18"/>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INDEX(products!$A$1:$G$49,MATCH($D374,products!$A$1:$A$49,0),MATCH(I$1,products!$A$1:$G$1,0))</f>
        <v>Rob</v>
      </c>
      <c r="J374" t="str">
        <f>INDEX(products!$A$1:$G$49,MATCH($D374,products!$A$1:$A$49,0),MATCH(J$1,products!$A$1:$G$1,0))</f>
        <v>L</v>
      </c>
      <c r="K374" s="4">
        <f>INDEX(products!$A$1:$G$49,MATCH($D374,products!$A$1:$A$49,0),MATCH(K$1,products!$A$1:$G$1,0))</f>
        <v>0.5</v>
      </c>
      <c r="L374" s="5">
        <f>INDEX(products!$A$1:$G$49,MATCH($D374,products!$A$1:$A$49,0),MATCH(L$1,products!$A$1:$G$1,0))</f>
        <v>7.169999999999999</v>
      </c>
      <c r="M374" s="5">
        <f t="shared" si="16"/>
        <v>43.019999999999996</v>
      </c>
      <c r="N374" t="str">
        <f t="shared" si="18"/>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f>
        <v>Corney Curme</v>
      </c>
      <c r="G375" s="2" t="str">
        <f>IF(_xlfn.XLOOKUP(C375,customers!$A$1:$A$1001,customers!$C$1:$C$1001,,0)=0,"",_xlfn.XLOOKUP(C375,customers!$A$1:$A$1001,customers!$C$1:$C$1001,,0))</f>
        <v/>
      </c>
      <c r="H375" s="2" t="str">
        <f>_xlfn.XLOOKUP(C375,customers!$A$1:$A$1001,customers!$G$1:$G$1001,,0)</f>
        <v>Ireland</v>
      </c>
      <c r="I375" t="str">
        <f>INDEX(products!$A$1:$G$49,MATCH($D375,products!$A$1:$A$49,0),MATCH(I$1,products!$A$1:$G$1,0))</f>
        <v>Ara</v>
      </c>
      <c r="J375" t="str">
        <f>INDEX(products!$A$1:$G$49,MATCH($D375,products!$A$1:$A$49,0),MATCH(J$1,products!$A$1:$G$1,0))</f>
        <v>D</v>
      </c>
      <c r="K375" s="4">
        <f>INDEX(products!$A$1:$G$49,MATCH($D375,products!$A$1:$A$49,0),MATCH(K$1,products!$A$1:$G$1,0))</f>
        <v>0.5</v>
      </c>
      <c r="L375" s="5">
        <f>INDEX(products!$A$1:$G$49,MATCH($D375,products!$A$1:$A$49,0),MATCH(L$1,products!$A$1:$G$1,0))</f>
        <v>5.97</v>
      </c>
      <c r="M375" s="5">
        <f t="shared" si="16"/>
        <v>17.91</v>
      </c>
      <c r="N375" t="str">
        <f t="shared" si="18"/>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INDEX(products!$A$1:$G$49,MATCH($D376,products!$A$1:$A$49,0),MATCH(I$1,products!$A$1:$G$1,0))</f>
        <v>Lib</v>
      </c>
      <c r="J376" t="str">
        <f>INDEX(products!$A$1:$G$49,MATCH($D376,products!$A$1:$A$49,0),MATCH(J$1,products!$A$1:$G$1,0))</f>
        <v>L</v>
      </c>
      <c r="K376" s="4">
        <f>INDEX(products!$A$1:$G$49,MATCH($D376,products!$A$1:$A$49,0),MATCH(K$1,products!$A$1:$G$1,0))</f>
        <v>0.5</v>
      </c>
      <c r="L376" s="5">
        <f>INDEX(products!$A$1:$G$49,MATCH($D376,products!$A$1:$A$49,0),MATCH(L$1,products!$A$1:$G$1,0))</f>
        <v>9.51</v>
      </c>
      <c r="M376" s="5">
        <f t="shared" si="16"/>
        <v>38.04</v>
      </c>
      <c r="N376" t="str">
        <f t="shared" si="18"/>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INDEX(products!$A$1:$G$49,MATCH($D377,products!$A$1:$A$49,0),MATCH(I$1,products!$A$1:$G$1,0))</f>
        <v>Ara</v>
      </c>
      <c r="J377" t="str">
        <f>INDEX(products!$A$1:$G$49,MATCH($D377,products!$A$1:$A$49,0),MATCH(J$1,products!$A$1:$G$1,0))</f>
        <v>M</v>
      </c>
      <c r="K377" s="4">
        <f>INDEX(products!$A$1:$G$49,MATCH($D377,products!$A$1:$A$49,0),MATCH(K$1,products!$A$1:$G$1,0))</f>
        <v>0.2</v>
      </c>
      <c r="L377" s="5">
        <f>INDEX(products!$A$1:$G$49,MATCH($D377,products!$A$1:$A$49,0),MATCH(L$1,products!$A$1:$G$1,0))</f>
        <v>3.375</v>
      </c>
      <c r="M377" s="5">
        <f t="shared" si="16"/>
        <v>6.75</v>
      </c>
      <c r="N377" t="str">
        <f t="shared" si="18"/>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f>
        <v>Judd De Leek</v>
      </c>
      <c r="G378" s="2" t="str">
        <f>IF(_xlfn.XLOOKUP(C378,customers!$A$1:$A$1001,customers!$C$1:$C$1001,,0)=0,"",_xlfn.XLOOKUP(C378,customers!$A$1:$A$1001,customers!$C$1:$C$1001,,0))</f>
        <v>jdeag@xrea.com</v>
      </c>
      <c r="H378" s="2" t="str">
        <f>_xlfn.XLOOKUP(C378,customers!$A$1:$A$1001,customers!$G$1:$G$1001,,0)</f>
        <v>United States</v>
      </c>
      <c r="I378" t="str">
        <f>INDEX(products!$A$1:$G$49,MATCH($D378,products!$A$1:$A$49,0),MATCH(I$1,products!$A$1:$G$1,0))</f>
        <v>Rob</v>
      </c>
      <c r="J378" t="str">
        <f>INDEX(products!$A$1:$G$49,MATCH($D378,products!$A$1:$A$49,0),MATCH(J$1,products!$A$1:$G$1,0))</f>
        <v>M</v>
      </c>
      <c r="K378" s="4">
        <f>INDEX(products!$A$1:$G$49,MATCH($D378,products!$A$1:$A$49,0),MATCH(K$1,products!$A$1:$G$1,0))</f>
        <v>0.5</v>
      </c>
      <c r="L378" s="5">
        <f>INDEX(products!$A$1:$G$49,MATCH($D378,products!$A$1:$A$49,0),MATCH(L$1,products!$A$1:$G$1,0))</f>
        <v>5.97</v>
      </c>
      <c r="M378" s="5">
        <f t="shared" si="16"/>
        <v>5.97</v>
      </c>
      <c r="N378" t="str">
        <f t="shared" si="18"/>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INDEX(products!$A$1:$G$49,MATCH($D379,products!$A$1:$A$49,0),MATCH(I$1,products!$A$1:$G$1,0))</f>
        <v>Rob</v>
      </c>
      <c r="J379" t="str">
        <f>INDEX(products!$A$1:$G$49,MATCH($D379,products!$A$1:$A$49,0),MATCH(J$1,products!$A$1:$G$1,0))</f>
        <v>D</v>
      </c>
      <c r="K379" s="4">
        <f>INDEX(products!$A$1:$G$49,MATCH($D379,products!$A$1:$A$49,0),MATCH(K$1,products!$A$1:$G$1,0))</f>
        <v>0.2</v>
      </c>
      <c r="L379" s="5">
        <f>INDEX(products!$A$1:$G$49,MATCH($D379,products!$A$1:$A$49,0),MATCH(L$1,products!$A$1:$G$1,0))</f>
        <v>2.6849999999999996</v>
      </c>
      <c r="M379" s="5">
        <f t="shared" si="16"/>
        <v>8.0549999999999997</v>
      </c>
      <c r="N379" t="str">
        <f t="shared" si="18"/>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INDEX(products!$A$1:$G$49,MATCH($D380,products!$A$1:$A$49,0),MATCH(I$1,products!$A$1:$G$1,0))</f>
        <v>Ara</v>
      </c>
      <c r="J380" t="str">
        <f>INDEX(products!$A$1:$G$49,MATCH($D380,products!$A$1:$A$49,0),MATCH(J$1,products!$A$1:$G$1,0))</f>
        <v>L</v>
      </c>
      <c r="K380" s="4">
        <f>INDEX(products!$A$1:$G$49,MATCH($D380,products!$A$1:$A$49,0),MATCH(K$1,products!$A$1:$G$1,0))</f>
        <v>0.5</v>
      </c>
      <c r="L380" s="5">
        <f>INDEX(products!$A$1:$G$49,MATCH($D380,products!$A$1:$A$49,0),MATCH(L$1,products!$A$1:$G$1,0))</f>
        <v>7.77</v>
      </c>
      <c r="M380" s="5">
        <f t="shared" si="16"/>
        <v>23.31</v>
      </c>
      <c r="N380" t="str">
        <f t="shared" si="18"/>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INDEX(products!$A$1:$G$49,MATCH($D381,products!$A$1:$A$49,0),MATCH(I$1,products!$A$1:$G$1,0))</f>
        <v>Rob</v>
      </c>
      <c r="J381" t="str">
        <f>INDEX(products!$A$1:$G$49,MATCH($D381,products!$A$1:$A$49,0),MATCH(J$1,products!$A$1:$G$1,0))</f>
        <v>L</v>
      </c>
      <c r="K381" s="4">
        <f>INDEX(products!$A$1:$G$49,MATCH($D381,products!$A$1:$A$49,0),MATCH(K$1,products!$A$1:$G$1,0))</f>
        <v>0.5</v>
      </c>
      <c r="L381" s="5">
        <f>INDEX(products!$A$1:$G$49,MATCH($D381,products!$A$1:$A$49,0),MATCH(L$1,products!$A$1:$G$1,0))</f>
        <v>7.169999999999999</v>
      </c>
      <c r="M381" s="5">
        <f t="shared" si="16"/>
        <v>43.019999999999996</v>
      </c>
      <c r="N381" t="str">
        <f t="shared" si="18"/>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f>
        <v>Flynn Antony</v>
      </c>
      <c r="G382" s="2" t="str">
        <f>IF(_xlfn.XLOOKUP(C382,customers!$A$1:$A$1001,customers!$C$1:$C$1001,,0)=0,"",_xlfn.XLOOKUP(C382,customers!$A$1:$A$1001,customers!$C$1:$C$1001,,0))</f>
        <v/>
      </c>
      <c r="H382" s="2" t="str">
        <f>_xlfn.XLOOKUP(C382,customers!$A$1:$A$1001,customers!$G$1:$G$1001,,0)</f>
        <v>United States</v>
      </c>
      <c r="I382" t="str">
        <f>INDEX(products!$A$1:$G$49,MATCH($D382,products!$A$1:$A$49,0),MATCH(I$1,products!$A$1:$G$1,0))</f>
        <v>Lib</v>
      </c>
      <c r="J382" t="str">
        <f>INDEX(products!$A$1:$G$49,MATCH($D382,products!$A$1:$A$49,0),MATCH(J$1,products!$A$1:$G$1,0))</f>
        <v>D</v>
      </c>
      <c r="K382" s="4">
        <f>INDEX(products!$A$1:$G$49,MATCH($D382,products!$A$1:$A$49,0),MATCH(K$1,products!$A$1:$G$1,0))</f>
        <v>0.5</v>
      </c>
      <c r="L382" s="5">
        <f>INDEX(products!$A$1:$G$49,MATCH($D382,products!$A$1:$A$49,0),MATCH(L$1,products!$A$1:$G$1,0))</f>
        <v>7.77</v>
      </c>
      <c r="M382" s="5">
        <f t="shared" si="16"/>
        <v>23.31</v>
      </c>
      <c r="N382" t="str">
        <f t="shared" si="18"/>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f>
        <v>Pren Bess</v>
      </c>
      <c r="G383" s="2" t="str">
        <f>IF(_xlfn.XLOOKUP(C383,customers!$A$1:$A$1001,customers!$C$1:$C$1001,,0)=0,"",_xlfn.XLOOKUP(C383,customers!$A$1:$A$1001,customers!$C$1:$C$1001,,0))</f>
        <v>pbessal@qq.com</v>
      </c>
      <c r="H383" s="2" t="str">
        <f>_xlfn.XLOOKUP(C383,customers!$A$1:$A$1001,customers!$G$1:$G$1001,,0)</f>
        <v>United States</v>
      </c>
      <c r="I383" t="str">
        <f>INDEX(products!$A$1:$G$49,MATCH($D383,products!$A$1:$A$49,0),MATCH(I$1,products!$A$1:$G$1,0))</f>
        <v>Ara</v>
      </c>
      <c r="J383" t="str">
        <f>INDEX(products!$A$1:$G$49,MATCH($D383,products!$A$1:$A$49,0),MATCH(J$1,products!$A$1:$G$1,0))</f>
        <v>D</v>
      </c>
      <c r="K383" s="4">
        <f>INDEX(products!$A$1:$G$49,MATCH($D383,products!$A$1:$A$49,0),MATCH(K$1,products!$A$1:$G$1,0))</f>
        <v>0.2</v>
      </c>
      <c r="L383" s="5">
        <f>INDEX(products!$A$1:$G$49,MATCH($D383,products!$A$1:$A$49,0),MATCH(L$1,products!$A$1:$G$1,0))</f>
        <v>2.9849999999999999</v>
      </c>
      <c r="M383" s="5">
        <f t="shared" si="16"/>
        <v>14.924999999999999</v>
      </c>
      <c r="N383" t="str">
        <f t="shared" si="18"/>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INDEX(products!$A$1:$G$49,MATCH($D384,products!$A$1:$A$49,0),MATCH(I$1,products!$A$1:$G$1,0))</f>
        <v>Exc</v>
      </c>
      <c r="J384" t="str">
        <f>INDEX(products!$A$1:$G$49,MATCH($D384,products!$A$1:$A$49,0),MATCH(J$1,products!$A$1:$G$1,0))</f>
        <v>D</v>
      </c>
      <c r="K384" s="4">
        <f>INDEX(products!$A$1:$G$49,MATCH($D384,products!$A$1:$A$49,0),MATCH(K$1,products!$A$1:$G$1,0))</f>
        <v>0.5</v>
      </c>
      <c r="L384" s="5">
        <f>INDEX(products!$A$1:$G$49,MATCH($D384,products!$A$1:$A$49,0),MATCH(L$1,products!$A$1:$G$1,0))</f>
        <v>7.29</v>
      </c>
      <c r="M384" s="5">
        <f t="shared" si="16"/>
        <v>21.87</v>
      </c>
      <c r="N384" t="str">
        <f t="shared" si="18"/>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f>
        <v>Marty Kidstoun</v>
      </c>
      <c r="G385" s="2" t="str">
        <f>IF(_xlfn.XLOOKUP(C385,customers!$A$1:$A$1001,customers!$C$1:$C$1001,,0)=0,"",_xlfn.XLOOKUP(C385,customers!$A$1:$A$1001,customers!$C$1:$C$1001,,0))</f>
        <v/>
      </c>
      <c r="H385" s="2" t="str">
        <f>_xlfn.XLOOKUP(C385,customers!$A$1:$A$1001,customers!$G$1:$G$1001,,0)</f>
        <v>United States</v>
      </c>
      <c r="I385" t="str">
        <f>INDEX(products!$A$1:$G$49,MATCH($D385,products!$A$1:$A$49,0),MATCH(I$1,products!$A$1:$G$1,0))</f>
        <v>Exc</v>
      </c>
      <c r="J385" t="str">
        <f>INDEX(products!$A$1:$G$49,MATCH($D385,products!$A$1:$A$49,0),MATCH(J$1,products!$A$1:$G$1,0))</f>
        <v>L</v>
      </c>
      <c r="K385" s="4">
        <f>INDEX(products!$A$1:$G$49,MATCH($D385,products!$A$1:$A$49,0),MATCH(K$1,products!$A$1:$G$1,0))</f>
        <v>0.5</v>
      </c>
      <c r="L385" s="5">
        <f>INDEX(products!$A$1:$G$49,MATCH($D385,products!$A$1:$A$49,0),MATCH(L$1,products!$A$1:$G$1,0))</f>
        <v>8.91</v>
      </c>
      <c r="M385" s="5">
        <f t="shared" si="16"/>
        <v>53.46</v>
      </c>
      <c r="N385" t="str">
        <f t="shared" si="18"/>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f>
        <v>Nickey Dimbleby</v>
      </c>
      <c r="G386" s="2" t="str">
        <f>IF(_xlfn.XLOOKUP(C386,customers!$A$1:$A$1001,customers!$C$1:$C$1001,,0)=0,"",_xlfn.XLOOKUP(C386,customers!$A$1:$A$1001,customers!$C$1:$C$1001,,0))</f>
        <v/>
      </c>
      <c r="H386" s="2" t="str">
        <f>_xlfn.XLOOKUP(C386,customers!$A$1:$A$1001,customers!$G$1:$G$1001,,0)</f>
        <v>United States</v>
      </c>
      <c r="I386" t="str">
        <f>INDEX(products!$A$1:$G$49,MATCH($D386,products!$A$1:$A$49,0),MATCH(I$1,products!$A$1:$G$1,0))</f>
        <v>Ara</v>
      </c>
      <c r="J386" t="str">
        <f>INDEX(products!$A$1:$G$49,MATCH($D386,products!$A$1:$A$49,0),MATCH(J$1,products!$A$1:$G$1,0))</f>
        <v>L</v>
      </c>
      <c r="K386" s="4">
        <f>INDEX(products!$A$1:$G$49,MATCH($D386,products!$A$1:$A$49,0),MATCH(K$1,products!$A$1:$G$1,0))</f>
        <v>2.5</v>
      </c>
      <c r="L386" s="5">
        <f>INDEX(products!$A$1:$G$49,MATCH($D386,products!$A$1:$A$49,0),MATCH(L$1,products!$A$1:$G$1,0))</f>
        <v>29.784999999999997</v>
      </c>
      <c r="M386" s="5">
        <f t="shared" si="16"/>
        <v>119.13999999999999</v>
      </c>
      <c r="N386" t="str">
        <f t="shared" si="18"/>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INDEX(products!$A$1:$G$49,MATCH($D387,products!$A$1:$A$49,0),MATCH(I$1,products!$A$1:$G$1,0))</f>
        <v>Lib</v>
      </c>
      <c r="J387" t="str">
        <f>INDEX(products!$A$1:$G$49,MATCH($D387,products!$A$1:$A$49,0),MATCH(J$1,products!$A$1:$G$1,0))</f>
        <v>M</v>
      </c>
      <c r="K387" s="4">
        <f>INDEX(products!$A$1:$G$49,MATCH($D387,products!$A$1:$A$49,0),MATCH(K$1,products!$A$1:$G$1,0))</f>
        <v>0.5</v>
      </c>
      <c r="L387" s="5">
        <f>INDEX(products!$A$1:$G$49,MATCH($D387,products!$A$1:$A$49,0),MATCH(L$1,products!$A$1:$G$1,0))</f>
        <v>8.73</v>
      </c>
      <c r="M387" s="5">
        <f t="shared" ref="M387:M450" si="19">L387*E387</f>
        <v>43.650000000000006</v>
      </c>
      <c r="N387" t="str">
        <f t="shared" si="18"/>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f>
        <v>Lenore Messenbird</v>
      </c>
      <c r="G388" s="2" t="str">
        <f>IF(_xlfn.XLOOKUP(C388,customers!$A$1:$A$1001,customers!$C$1:$C$1001,,0)=0,"",_xlfn.XLOOKUP(C388,customers!$A$1:$A$1001,customers!$C$1:$C$1001,,0))</f>
        <v/>
      </c>
      <c r="H388" s="2" t="str">
        <f>_xlfn.XLOOKUP(C388,customers!$A$1:$A$1001,customers!$G$1:$G$1001,,0)</f>
        <v>United States</v>
      </c>
      <c r="I388" t="str">
        <f>INDEX(products!$A$1:$G$49,MATCH($D388,products!$A$1:$A$49,0),MATCH(I$1,products!$A$1:$G$1,0))</f>
        <v>Ara</v>
      </c>
      <c r="J388" t="str">
        <f>INDEX(products!$A$1:$G$49,MATCH($D388,products!$A$1:$A$49,0),MATCH(J$1,products!$A$1:$G$1,0))</f>
        <v>D</v>
      </c>
      <c r="K388" s="4">
        <f>INDEX(products!$A$1:$G$49,MATCH($D388,products!$A$1:$A$49,0),MATCH(K$1,products!$A$1:$G$1,0))</f>
        <v>0.2</v>
      </c>
      <c r="L388" s="5">
        <f>INDEX(products!$A$1:$G$49,MATCH($D388,products!$A$1:$A$49,0),MATCH(L$1,products!$A$1:$G$1,0))</f>
        <v>2.9849999999999999</v>
      </c>
      <c r="M388" s="5">
        <f t="shared" si="19"/>
        <v>17.91</v>
      </c>
      <c r="N388" t="str">
        <f t="shared" si="18"/>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INDEX(products!$A$1:$G$49,MATCH($D389,products!$A$1:$A$49,0),MATCH(I$1,products!$A$1:$G$1,0))</f>
        <v>Exc</v>
      </c>
      <c r="J389" t="str">
        <f>INDEX(products!$A$1:$G$49,MATCH($D389,products!$A$1:$A$49,0),MATCH(J$1,products!$A$1:$G$1,0))</f>
        <v>L</v>
      </c>
      <c r="K389" s="4">
        <f>INDEX(products!$A$1:$G$49,MATCH($D389,products!$A$1:$A$49,0),MATCH(K$1,products!$A$1:$G$1,0))</f>
        <v>1</v>
      </c>
      <c r="L389" s="5">
        <f>INDEX(products!$A$1:$G$49,MATCH($D389,products!$A$1:$A$49,0),MATCH(L$1,products!$A$1:$G$1,0))</f>
        <v>14.85</v>
      </c>
      <c r="M389" s="5">
        <f t="shared" si="19"/>
        <v>74.25</v>
      </c>
      <c r="N389" t="str">
        <f t="shared" si="18"/>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INDEX(products!$A$1:$G$49,MATCH($D390,products!$A$1:$A$49,0),MATCH(I$1,products!$A$1:$G$1,0))</f>
        <v>Lib</v>
      </c>
      <c r="J390" t="str">
        <f>INDEX(products!$A$1:$G$49,MATCH($D390,products!$A$1:$A$49,0),MATCH(J$1,products!$A$1:$G$1,0))</f>
        <v>D</v>
      </c>
      <c r="K390" s="4">
        <f>INDEX(products!$A$1:$G$49,MATCH($D390,products!$A$1:$A$49,0),MATCH(K$1,products!$A$1:$G$1,0))</f>
        <v>0.2</v>
      </c>
      <c r="L390" s="5">
        <f>INDEX(products!$A$1:$G$49,MATCH($D390,products!$A$1:$A$49,0),MATCH(L$1,products!$A$1:$G$1,0))</f>
        <v>3.8849999999999998</v>
      </c>
      <c r="M390" s="5">
        <f t="shared" si="19"/>
        <v>11.654999999999999</v>
      </c>
      <c r="N390" t="str">
        <f t="shared" si="18"/>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INDEX(products!$A$1:$G$49,MATCH($D391,products!$A$1:$A$49,0),MATCH(I$1,products!$A$1:$G$1,0))</f>
        <v>Lib</v>
      </c>
      <c r="J391" t="str">
        <f>INDEX(products!$A$1:$G$49,MATCH($D391,products!$A$1:$A$49,0),MATCH(J$1,products!$A$1:$G$1,0))</f>
        <v>D</v>
      </c>
      <c r="K391" s="4">
        <f>INDEX(products!$A$1:$G$49,MATCH($D391,products!$A$1:$A$49,0),MATCH(K$1,products!$A$1:$G$1,0))</f>
        <v>0.5</v>
      </c>
      <c r="L391" s="5">
        <f>INDEX(products!$A$1:$G$49,MATCH($D391,products!$A$1:$A$49,0),MATCH(L$1,products!$A$1:$G$1,0))</f>
        <v>7.77</v>
      </c>
      <c r="M391" s="5">
        <f t="shared" si="19"/>
        <v>23.31</v>
      </c>
      <c r="N391" t="str">
        <f t="shared" ref="N391:N454" si="21">IF(I391="Rob","Robusta",IF(I391="Ara","Arabica",IF(I391="Exc","Excelsa",IF(I391="Lib","Liberica",""))))</f>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INDEX(products!$A$1:$G$49,MATCH($D392,products!$A$1:$A$49,0),MATCH(I$1,products!$A$1:$G$1,0))</f>
        <v>Exc</v>
      </c>
      <c r="J392" t="str">
        <f>INDEX(products!$A$1:$G$49,MATCH($D392,products!$A$1:$A$49,0),MATCH(J$1,products!$A$1:$G$1,0))</f>
        <v>D</v>
      </c>
      <c r="K392" s="4">
        <f>INDEX(products!$A$1:$G$49,MATCH($D392,products!$A$1:$A$49,0),MATCH(K$1,products!$A$1:$G$1,0))</f>
        <v>0.5</v>
      </c>
      <c r="L392" s="5">
        <f>INDEX(products!$A$1:$G$49,MATCH($D392,products!$A$1:$A$49,0),MATCH(L$1,products!$A$1:$G$1,0))</f>
        <v>7.29</v>
      </c>
      <c r="M392" s="5">
        <f t="shared" si="19"/>
        <v>14.58</v>
      </c>
      <c r="N392" t="str">
        <f t="shared" si="21"/>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INDEX(products!$A$1:$G$49,MATCH($D393,products!$A$1:$A$49,0),MATCH(I$1,products!$A$1:$G$1,0))</f>
        <v>Ara</v>
      </c>
      <c r="J393" t="str">
        <f>INDEX(products!$A$1:$G$49,MATCH($D393,products!$A$1:$A$49,0),MATCH(J$1,products!$A$1:$G$1,0))</f>
        <v>M</v>
      </c>
      <c r="K393" s="4">
        <f>INDEX(products!$A$1:$G$49,MATCH($D393,products!$A$1:$A$49,0),MATCH(K$1,products!$A$1:$G$1,0))</f>
        <v>0.5</v>
      </c>
      <c r="L393" s="5">
        <f>INDEX(products!$A$1:$G$49,MATCH($D393,products!$A$1:$A$49,0),MATCH(L$1,products!$A$1:$G$1,0))</f>
        <v>6.75</v>
      </c>
      <c r="M393" s="5">
        <f t="shared" si="19"/>
        <v>13.5</v>
      </c>
      <c r="N393" t="str">
        <f t="shared" si="21"/>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INDEX(products!$A$1:$G$49,MATCH($D394,products!$A$1:$A$49,0),MATCH(I$1,products!$A$1:$G$1,0))</f>
        <v>Exc</v>
      </c>
      <c r="J394" t="str">
        <f>INDEX(products!$A$1:$G$49,MATCH($D394,products!$A$1:$A$49,0),MATCH(J$1,products!$A$1:$G$1,0))</f>
        <v>L</v>
      </c>
      <c r="K394" s="4">
        <f>INDEX(products!$A$1:$G$49,MATCH($D394,products!$A$1:$A$49,0),MATCH(K$1,products!$A$1:$G$1,0))</f>
        <v>1</v>
      </c>
      <c r="L394" s="5">
        <f>INDEX(products!$A$1:$G$49,MATCH($D394,products!$A$1:$A$49,0),MATCH(L$1,products!$A$1:$G$1,0))</f>
        <v>14.85</v>
      </c>
      <c r="M394" s="5">
        <f t="shared" si="19"/>
        <v>89.1</v>
      </c>
      <c r="N394" t="str">
        <f t="shared" si="21"/>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INDEX(products!$A$1:$G$49,MATCH($D395,products!$A$1:$A$49,0),MATCH(I$1,products!$A$1:$G$1,0))</f>
        <v>Ara</v>
      </c>
      <c r="J395" t="str">
        <f>INDEX(products!$A$1:$G$49,MATCH($D395,products!$A$1:$A$49,0),MATCH(J$1,products!$A$1:$G$1,0))</f>
        <v>L</v>
      </c>
      <c r="K395" s="4">
        <f>INDEX(products!$A$1:$G$49,MATCH($D395,products!$A$1:$A$49,0),MATCH(K$1,products!$A$1:$G$1,0))</f>
        <v>0.2</v>
      </c>
      <c r="L395" s="5">
        <f>INDEX(products!$A$1:$G$49,MATCH($D395,products!$A$1:$A$49,0),MATCH(L$1,products!$A$1:$G$1,0))</f>
        <v>3.8849999999999998</v>
      </c>
      <c r="M395" s="5">
        <f t="shared" si="19"/>
        <v>3.8849999999999998</v>
      </c>
      <c r="N395" t="str">
        <f t="shared" si="21"/>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INDEX(products!$A$1:$G$49,MATCH($D396,products!$A$1:$A$49,0),MATCH(I$1,products!$A$1:$G$1,0))</f>
        <v>Rob</v>
      </c>
      <c r="J396" t="str">
        <f>INDEX(products!$A$1:$G$49,MATCH($D396,products!$A$1:$A$49,0),MATCH(J$1,products!$A$1:$G$1,0))</f>
        <v>L</v>
      </c>
      <c r="K396" s="4">
        <f>INDEX(products!$A$1:$G$49,MATCH($D396,products!$A$1:$A$49,0),MATCH(K$1,products!$A$1:$G$1,0))</f>
        <v>2.5</v>
      </c>
      <c r="L396" s="5">
        <f>INDEX(products!$A$1:$G$49,MATCH($D396,products!$A$1:$A$49,0),MATCH(L$1,products!$A$1:$G$1,0))</f>
        <v>27.484999999999996</v>
      </c>
      <c r="M396" s="5">
        <f t="shared" si="19"/>
        <v>109.93999999999998</v>
      </c>
      <c r="N396" t="str">
        <f t="shared" si="21"/>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INDEX(products!$A$1:$G$49,MATCH($D397,products!$A$1:$A$49,0),MATCH(I$1,products!$A$1:$G$1,0))</f>
        <v>Lib</v>
      </c>
      <c r="J397" t="str">
        <f>INDEX(products!$A$1:$G$49,MATCH($D397,products!$A$1:$A$49,0),MATCH(J$1,products!$A$1:$G$1,0))</f>
        <v>D</v>
      </c>
      <c r="K397" s="4">
        <f>INDEX(products!$A$1:$G$49,MATCH($D397,products!$A$1:$A$49,0),MATCH(K$1,products!$A$1:$G$1,0))</f>
        <v>0.5</v>
      </c>
      <c r="L397" s="5">
        <f>INDEX(products!$A$1:$G$49,MATCH($D397,products!$A$1:$A$49,0),MATCH(L$1,products!$A$1:$G$1,0))</f>
        <v>7.77</v>
      </c>
      <c r="M397" s="5">
        <f t="shared" si="19"/>
        <v>46.62</v>
      </c>
      <c r="N397" t="str">
        <f t="shared" si="21"/>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INDEX(products!$A$1:$G$49,MATCH($D398,products!$A$1:$A$49,0),MATCH(I$1,products!$A$1:$G$1,0))</f>
        <v>Ara</v>
      </c>
      <c r="J398" t="str">
        <f>INDEX(products!$A$1:$G$49,MATCH($D398,products!$A$1:$A$49,0),MATCH(J$1,products!$A$1:$G$1,0))</f>
        <v>L</v>
      </c>
      <c r="K398" s="4">
        <f>INDEX(products!$A$1:$G$49,MATCH($D398,products!$A$1:$A$49,0),MATCH(K$1,products!$A$1:$G$1,0))</f>
        <v>0.5</v>
      </c>
      <c r="L398" s="5">
        <f>INDEX(products!$A$1:$G$49,MATCH($D398,products!$A$1:$A$49,0),MATCH(L$1,products!$A$1:$G$1,0))</f>
        <v>7.77</v>
      </c>
      <c r="M398" s="5">
        <f t="shared" si="19"/>
        <v>38.849999999999994</v>
      </c>
      <c r="N398" t="str">
        <f t="shared" si="21"/>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INDEX(products!$A$1:$G$49,MATCH($D399,products!$A$1:$A$49,0),MATCH(I$1,products!$A$1:$G$1,0))</f>
        <v>Lib</v>
      </c>
      <c r="J399" t="str">
        <f>INDEX(products!$A$1:$G$49,MATCH($D399,products!$A$1:$A$49,0),MATCH(J$1,products!$A$1:$G$1,0))</f>
        <v>D</v>
      </c>
      <c r="K399" s="4">
        <f>INDEX(products!$A$1:$G$49,MATCH($D399,products!$A$1:$A$49,0),MATCH(K$1,products!$A$1:$G$1,0))</f>
        <v>0.5</v>
      </c>
      <c r="L399" s="5">
        <f>INDEX(products!$A$1:$G$49,MATCH($D399,products!$A$1:$A$49,0),MATCH(L$1,products!$A$1:$G$1,0))</f>
        <v>7.77</v>
      </c>
      <c r="M399" s="5">
        <f t="shared" si="19"/>
        <v>31.08</v>
      </c>
      <c r="N399" t="str">
        <f t="shared" si="21"/>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INDEX(products!$A$1:$G$49,MATCH($D400,products!$A$1:$A$49,0),MATCH(I$1,products!$A$1:$G$1,0))</f>
        <v>Ara</v>
      </c>
      <c r="J400" t="str">
        <f>INDEX(products!$A$1:$G$49,MATCH($D400,products!$A$1:$A$49,0),MATCH(J$1,products!$A$1:$G$1,0))</f>
        <v>D</v>
      </c>
      <c r="K400" s="4">
        <f>INDEX(products!$A$1:$G$49,MATCH($D400,products!$A$1:$A$49,0),MATCH(K$1,products!$A$1:$G$1,0))</f>
        <v>0.2</v>
      </c>
      <c r="L400" s="5">
        <f>INDEX(products!$A$1:$G$49,MATCH($D400,products!$A$1:$A$49,0),MATCH(L$1,products!$A$1:$G$1,0))</f>
        <v>2.9849999999999999</v>
      </c>
      <c r="M400" s="5">
        <f t="shared" si="19"/>
        <v>17.91</v>
      </c>
      <c r="N400" t="str">
        <f t="shared" si="21"/>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INDEX(products!$A$1:$G$49,MATCH($D401,products!$A$1:$A$49,0),MATCH(I$1,products!$A$1:$G$1,0))</f>
        <v>Exc</v>
      </c>
      <c r="J401" t="str">
        <f>INDEX(products!$A$1:$G$49,MATCH($D401,products!$A$1:$A$49,0),MATCH(J$1,products!$A$1:$G$1,0))</f>
        <v>D</v>
      </c>
      <c r="K401" s="4">
        <f>INDEX(products!$A$1:$G$49,MATCH($D401,products!$A$1:$A$49,0),MATCH(K$1,products!$A$1:$G$1,0))</f>
        <v>2.5</v>
      </c>
      <c r="L401" s="5">
        <f>INDEX(products!$A$1:$G$49,MATCH($D401,products!$A$1:$A$49,0),MATCH(L$1,products!$A$1:$G$1,0))</f>
        <v>27.945</v>
      </c>
      <c r="M401" s="5">
        <f t="shared" si="19"/>
        <v>167.67000000000002</v>
      </c>
      <c r="N401" t="str">
        <f t="shared" si="21"/>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INDEX(products!$A$1:$G$49,MATCH($D402,products!$A$1:$A$49,0),MATCH(I$1,products!$A$1:$G$1,0))</f>
        <v>Lib</v>
      </c>
      <c r="J402" t="str">
        <f>INDEX(products!$A$1:$G$49,MATCH($D402,products!$A$1:$A$49,0),MATCH(J$1,products!$A$1:$G$1,0))</f>
        <v>L</v>
      </c>
      <c r="K402" s="4">
        <f>INDEX(products!$A$1:$G$49,MATCH($D402,products!$A$1:$A$49,0),MATCH(K$1,products!$A$1:$G$1,0))</f>
        <v>1</v>
      </c>
      <c r="L402" s="5">
        <f>INDEX(products!$A$1:$G$49,MATCH($D402,products!$A$1:$A$49,0),MATCH(L$1,products!$A$1:$G$1,0))</f>
        <v>15.85</v>
      </c>
      <c r="M402" s="5">
        <f t="shared" si="19"/>
        <v>63.4</v>
      </c>
      <c r="N402" t="str">
        <f t="shared" si="21"/>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INDEX(products!$A$1:$G$49,MATCH($D403,products!$A$1:$A$49,0),MATCH(I$1,products!$A$1:$G$1,0))</f>
        <v>Lib</v>
      </c>
      <c r="J403" t="str">
        <f>INDEX(products!$A$1:$G$49,MATCH($D403,products!$A$1:$A$49,0),MATCH(J$1,products!$A$1:$G$1,0))</f>
        <v>M</v>
      </c>
      <c r="K403" s="4">
        <f>INDEX(products!$A$1:$G$49,MATCH($D403,products!$A$1:$A$49,0),MATCH(K$1,products!$A$1:$G$1,0))</f>
        <v>0.2</v>
      </c>
      <c r="L403" s="5">
        <f>INDEX(products!$A$1:$G$49,MATCH($D403,products!$A$1:$A$49,0),MATCH(L$1,products!$A$1:$G$1,0))</f>
        <v>4.3650000000000002</v>
      </c>
      <c r="M403" s="5">
        <f t="shared" si="19"/>
        <v>8.73</v>
      </c>
      <c r="N403" t="str">
        <f t="shared" si="21"/>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INDEX(products!$A$1:$G$49,MATCH($D404,products!$A$1:$A$49,0),MATCH(I$1,products!$A$1:$G$1,0))</f>
        <v>Rob</v>
      </c>
      <c r="J404" t="str">
        <f>INDEX(products!$A$1:$G$49,MATCH($D404,products!$A$1:$A$49,0),MATCH(J$1,products!$A$1:$G$1,0))</f>
        <v>D</v>
      </c>
      <c r="K404" s="4">
        <f>INDEX(products!$A$1:$G$49,MATCH($D404,products!$A$1:$A$49,0),MATCH(K$1,products!$A$1:$G$1,0))</f>
        <v>1</v>
      </c>
      <c r="L404" s="5">
        <f>INDEX(products!$A$1:$G$49,MATCH($D404,products!$A$1:$A$49,0),MATCH(L$1,products!$A$1:$G$1,0))</f>
        <v>8.9499999999999993</v>
      </c>
      <c r="M404" s="5">
        <f t="shared" si="19"/>
        <v>26.849999999999998</v>
      </c>
      <c r="N404" t="str">
        <f t="shared" si="21"/>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INDEX(products!$A$1:$G$49,MATCH($D405,products!$A$1:$A$49,0),MATCH(I$1,products!$A$1:$G$1,0))</f>
        <v>Lib</v>
      </c>
      <c r="J405" t="str">
        <f>INDEX(products!$A$1:$G$49,MATCH($D405,products!$A$1:$A$49,0),MATCH(J$1,products!$A$1:$G$1,0))</f>
        <v>L</v>
      </c>
      <c r="K405" s="4">
        <f>INDEX(products!$A$1:$G$49,MATCH($D405,products!$A$1:$A$49,0),MATCH(K$1,products!$A$1:$G$1,0))</f>
        <v>0.2</v>
      </c>
      <c r="L405" s="5">
        <f>INDEX(products!$A$1:$G$49,MATCH($D405,products!$A$1:$A$49,0),MATCH(L$1,products!$A$1:$G$1,0))</f>
        <v>4.7549999999999999</v>
      </c>
      <c r="M405" s="5">
        <f t="shared" si="19"/>
        <v>9.51</v>
      </c>
      <c r="N405" t="str">
        <f t="shared" si="21"/>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f>
        <v>Tania Craggs</v>
      </c>
      <c r="G406" s="2" t="str">
        <f>IF(_xlfn.XLOOKUP(C406,customers!$A$1:$A$1001,customers!$C$1:$C$1001,,0)=0,"",_xlfn.XLOOKUP(C406,customers!$A$1:$A$1001,customers!$C$1:$C$1001,,0))</f>
        <v>tcraggsb8@house.gov</v>
      </c>
      <c r="H406" s="2" t="str">
        <f>_xlfn.XLOOKUP(C406,customers!$A$1:$A$1001,customers!$G$1:$G$1001,,0)</f>
        <v>Ireland</v>
      </c>
      <c r="I406" t="str">
        <f>INDEX(products!$A$1:$G$49,MATCH($D406,products!$A$1:$A$49,0),MATCH(I$1,products!$A$1:$G$1,0))</f>
        <v>Ara</v>
      </c>
      <c r="J406" t="str">
        <f>INDEX(products!$A$1:$G$49,MATCH($D406,products!$A$1:$A$49,0),MATCH(J$1,products!$A$1:$G$1,0))</f>
        <v>D</v>
      </c>
      <c r="K406" s="4">
        <f>INDEX(products!$A$1:$G$49,MATCH($D406,products!$A$1:$A$49,0),MATCH(K$1,products!$A$1:$G$1,0))</f>
        <v>1</v>
      </c>
      <c r="L406" s="5">
        <f>INDEX(products!$A$1:$G$49,MATCH($D406,products!$A$1:$A$49,0),MATCH(L$1,products!$A$1:$G$1,0))</f>
        <v>9.9499999999999993</v>
      </c>
      <c r="M406" s="5">
        <f t="shared" si="19"/>
        <v>39.799999999999997</v>
      </c>
      <c r="N406" t="str">
        <f t="shared" si="21"/>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INDEX(products!$A$1:$G$49,MATCH($D407,products!$A$1:$A$49,0),MATCH(I$1,products!$A$1:$G$1,0))</f>
        <v>Exc</v>
      </c>
      <c r="J407" t="str">
        <f>INDEX(products!$A$1:$G$49,MATCH($D407,products!$A$1:$A$49,0),MATCH(J$1,products!$A$1:$G$1,0))</f>
        <v>M</v>
      </c>
      <c r="K407" s="4">
        <f>INDEX(products!$A$1:$G$49,MATCH($D407,products!$A$1:$A$49,0),MATCH(K$1,products!$A$1:$G$1,0))</f>
        <v>0.5</v>
      </c>
      <c r="L407" s="5">
        <f>INDEX(products!$A$1:$G$49,MATCH($D407,products!$A$1:$A$49,0),MATCH(L$1,products!$A$1:$G$1,0))</f>
        <v>8.25</v>
      </c>
      <c r="M407" s="5">
        <f t="shared" si="19"/>
        <v>24.75</v>
      </c>
      <c r="N407" t="str">
        <f t="shared" si="21"/>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INDEX(products!$A$1:$G$49,MATCH($D408,products!$A$1:$A$49,0),MATCH(I$1,products!$A$1:$G$1,0))</f>
        <v>Exc</v>
      </c>
      <c r="J408" t="str">
        <f>INDEX(products!$A$1:$G$49,MATCH($D408,products!$A$1:$A$49,0),MATCH(J$1,products!$A$1:$G$1,0))</f>
        <v>M</v>
      </c>
      <c r="K408" s="4">
        <f>INDEX(products!$A$1:$G$49,MATCH($D408,products!$A$1:$A$49,0),MATCH(K$1,products!$A$1:$G$1,0))</f>
        <v>1</v>
      </c>
      <c r="L408" s="5">
        <f>INDEX(products!$A$1:$G$49,MATCH($D408,products!$A$1:$A$49,0),MATCH(L$1,products!$A$1:$G$1,0))</f>
        <v>13.75</v>
      </c>
      <c r="M408" s="5">
        <f t="shared" si="19"/>
        <v>68.75</v>
      </c>
      <c r="N408" t="str">
        <f t="shared" si="21"/>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f>
        <v>Lorin Guerrazzi</v>
      </c>
      <c r="G409" s="2" t="str">
        <f>IF(_xlfn.XLOOKUP(C409,customers!$A$1:$A$1001,customers!$C$1:$C$1001,,0)=0,"",_xlfn.XLOOKUP(C409,customers!$A$1:$A$1001,customers!$C$1:$C$1001,,0))</f>
        <v/>
      </c>
      <c r="H409" s="2" t="str">
        <f>_xlfn.XLOOKUP(C409,customers!$A$1:$A$1001,customers!$G$1:$G$1001,,0)</f>
        <v>Ireland</v>
      </c>
      <c r="I409" t="str">
        <f>INDEX(products!$A$1:$G$49,MATCH($D409,products!$A$1:$A$49,0),MATCH(I$1,products!$A$1:$G$1,0))</f>
        <v>Exc</v>
      </c>
      <c r="J409" t="str">
        <f>INDEX(products!$A$1:$G$49,MATCH($D409,products!$A$1:$A$49,0),MATCH(J$1,products!$A$1:$G$1,0))</f>
        <v>M</v>
      </c>
      <c r="K409" s="4">
        <f>INDEX(products!$A$1:$G$49,MATCH($D409,products!$A$1:$A$49,0),MATCH(K$1,products!$A$1:$G$1,0))</f>
        <v>0.5</v>
      </c>
      <c r="L409" s="5">
        <f>INDEX(products!$A$1:$G$49,MATCH($D409,products!$A$1:$A$49,0),MATCH(L$1,products!$A$1:$G$1,0))</f>
        <v>8.25</v>
      </c>
      <c r="M409" s="5">
        <f t="shared" si="19"/>
        <v>49.5</v>
      </c>
      <c r="N409" t="str">
        <f t="shared" si="21"/>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INDEX(products!$A$1:$G$49,MATCH($D410,products!$A$1:$A$49,0),MATCH(I$1,products!$A$1:$G$1,0))</f>
        <v>Ara</v>
      </c>
      <c r="J410" t="str">
        <f>INDEX(products!$A$1:$G$49,MATCH($D410,products!$A$1:$A$49,0),MATCH(J$1,products!$A$1:$G$1,0))</f>
        <v>M</v>
      </c>
      <c r="K410" s="4">
        <f>INDEX(products!$A$1:$G$49,MATCH($D410,products!$A$1:$A$49,0),MATCH(K$1,products!$A$1:$G$1,0))</f>
        <v>2.5</v>
      </c>
      <c r="L410" s="5">
        <f>INDEX(products!$A$1:$G$49,MATCH($D410,products!$A$1:$A$49,0),MATCH(L$1,products!$A$1:$G$1,0))</f>
        <v>25.874999999999996</v>
      </c>
      <c r="M410" s="5">
        <f t="shared" si="19"/>
        <v>51.749999999999993</v>
      </c>
      <c r="N410" t="str">
        <f t="shared" si="21"/>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f>
        <v>Hamish Skeech</v>
      </c>
      <c r="G411" s="2" t="str">
        <f>IF(_xlfn.XLOOKUP(C411,customers!$A$1:$A$1001,customers!$C$1:$C$1001,,0)=0,"",_xlfn.XLOOKUP(C411,customers!$A$1:$A$1001,customers!$C$1:$C$1001,,0))</f>
        <v/>
      </c>
      <c r="H411" s="2" t="str">
        <f>_xlfn.XLOOKUP(C411,customers!$A$1:$A$1001,customers!$G$1:$G$1001,,0)</f>
        <v>Ireland</v>
      </c>
      <c r="I411" t="str">
        <f>INDEX(products!$A$1:$G$49,MATCH($D411,products!$A$1:$A$49,0),MATCH(I$1,products!$A$1:$G$1,0))</f>
        <v>Lib</v>
      </c>
      <c r="J411" t="str">
        <f>INDEX(products!$A$1:$G$49,MATCH($D411,products!$A$1:$A$49,0),MATCH(J$1,products!$A$1:$G$1,0))</f>
        <v>L</v>
      </c>
      <c r="K411" s="4">
        <f>INDEX(products!$A$1:$G$49,MATCH($D411,products!$A$1:$A$49,0),MATCH(K$1,products!$A$1:$G$1,0))</f>
        <v>1</v>
      </c>
      <c r="L411" s="5">
        <f>INDEX(products!$A$1:$G$49,MATCH($D411,products!$A$1:$A$49,0),MATCH(L$1,products!$A$1:$G$1,0))</f>
        <v>15.85</v>
      </c>
      <c r="M411" s="5">
        <f t="shared" si="19"/>
        <v>47.55</v>
      </c>
      <c r="N411" t="str">
        <f t="shared" si="21"/>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f>
        <v>Giordano Lorenzin</v>
      </c>
      <c r="G412" s="2" t="str">
        <f>IF(_xlfn.XLOOKUP(C412,customers!$A$1:$A$1001,customers!$C$1:$C$1001,,0)=0,"",_xlfn.XLOOKUP(C412,customers!$A$1:$A$1001,customers!$C$1:$C$1001,,0))</f>
        <v/>
      </c>
      <c r="H412" s="2" t="str">
        <f>_xlfn.XLOOKUP(C412,customers!$A$1:$A$1001,customers!$G$1:$G$1001,,0)</f>
        <v>United States</v>
      </c>
      <c r="I412" t="str">
        <f>INDEX(products!$A$1:$G$49,MATCH($D412,products!$A$1:$A$49,0),MATCH(I$1,products!$A$1:$G$1,0))</f>
        <v>Ara</v>
      </c>
      <c r="J412" t="str">
        <f>INDEX(products!$A$1:$G$49,MATCH($D412,products!$A$1:$A$49,0),MATCH(J$1,products!$A$1:$G$1,0))</f>
        <v>L</v>
      </c>
      <c r="K412" s="4">
        <f>INDEX(products!$A$1:$G$49,MATCH($D412,products!$A$1:$A$49,0),MATCH(K$1,products!$A$1:$G$1,0))</f>
        <v>0.2</v>
      </c>
      <c r="L412" s="5">
        <f>INDEX(products!$A$1:$G$49,MATCH($D412,products!$A$1:$A$49,0),MATCH(L$1,products!$A$1:$G$1,0))</f>
        <v>3.8849999999999998</v>
      </c>
      <c r="M412" s="5">
        <f t="shared" si="19"/>
        <v>15.54</v>
      </c>
      <c r="N412" t="str">
        <f t="shared" si="21"/>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f>
        <v>Harwilll Bishell</v>
      </c>
      <c r="G413" s="2" t="str">
        <f>IF(_xlfn.XLOOKUP(C413,customers!$A$1:$A$1001,customers!$C$1:$C$1001,,0)=0,"",_xlfn.XLOOKUP(C413,customers!$A$1:$A$1001,customers!$C$1:$C$1001,,0))</f>
        <v/>
      </c>
      <c r="H413" s="2" t="str">
        <f>_xlfn.XLOOKUP(C413,customers!$A$1:$A$1001,customers!$G$1:$G$1001,,0)</f>
        <v>United States</v>
      </c>
      <c r="I413" t="str">
        <f>INDEX(products!$A$1:$G$49,MATCH($D413,products!$A$1:$A$49,0),MATCH(I$1,products!$A$1:$G$1,0))</f>
        <v>Lib</v>
      </c>
      <c r="J413" t="str">
        <f>INDEX(products!$A$1:$G$49,MATCH($D413,products!$A$1:$A$49,0),MATCH(J$1,products!$A$1:$G$1,0))</f>
        <v>M</v>
      </c>
      <c r="K413" s="4">
        <f>INDEX(products!$A$1:$G$49,MATCH($D413,products!$A$1:$A$49,0),MATCH(K$1,products!$A$1:$G$1,0))</f>
        <v>1</v>
      </c>
      <c r="L413" s="5">
        <f>INDEX(products!$A$1:$G$49,MATCH($D413,products!$A$1:$A$49,0),MATCH(L$1,products!$A$1:$G$1,0))</f>
        <v>14.55</v>
      </c>
      <c r="M413" s="5">
        <f t="shared" si="19"/>
        <v>87.300000000000011</v>
      </c>
      <c r="N413" t="str">
        <f t="shared" si="21"/>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f>
        <v>Freeland Missenden</v>
      </c>
      <c r="G414" s="2" t="str">
        <f>IF(_xlfn.XLOOKUP(C414,customers!$A$1:$A$1001,customers!$C$1:$C$1001,,0)=0,"",_xlfn.XLOOKUP(C414,customers!$A$1:$A$1001,customers!$C$1:$C$1001,,0))</f>
        <v/>
      </c>
      <c r="H414" s="2" t="str">
        <f>_xlfn.XLOOKUP(C414,customers!$A$1:$A$1001,customers!$G$1:$G$1001,,0)</f>
        <v>United States</v>
      </c>
      <c r="I414" t="str">
        <f>INDEX(products!$A$1:$G$49,MATCH($D414,products!$A$1:$A$49,0),MATCH(I$1,products!$A$1:$G$1,0))</f>
        <v>Ara</v>
      </c>
      <c r="J414" t="str">
        <f>INDEX(products!$A$1:$G$49,MATCH($D414,products!$A$1:$A$49,0),MATCH(J$1,products!$A$1:$G$1,0))</f>
        <v>M</v>
      </c>
      <c r="K414" s="4">
        <f>INDEX(products!$A$1:$G$49,MATCH($D414,products!$A$1:$A$49,0),MATCH(K$1,products!$A$1:$G$1,0))</f>
        <v>1</v>
      </c>
      <c r="L414" s="5">
        <f>INDEX(products!$A$1:$G$49,MATCH($D414,products!$A$1:$A$49,0),MATCH(L$1,products!$A$1:$G$1,0))</f>
        <v>11.25</v>
      </c>
      <c r="M414" s="5">
        <f t="shared" si="19"/>
        <v>56.25</v>
      </c>
      <c r="N414" t="str">
        <f t="shared" si="21"/>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INDEX(products!$A$1:$G$49,MATCH($D415,products!$A$1:$A$49,0),MATCH(I$1,products!$A$1:$G$1,0))</f>
        <v>Lib</v>
      </c>
      <c r="J415" t="str">
        <f>INDEX(products!$A$1:$G$49,MATCH($D415,products!$A$1:$A$49,0),MATCH(J$1,products!$A$1:$G$1,0))</f>
        <v>L</v>
      </c>
      <c r="K415" s="4">
        <f>INDEX(products!$A$1:$G$49,MATCH($D415,products!$A$1:$A$49,0),MATCH(K$1,products!$A$1:$G$1,0))</f>
        <v>2.5</v>
      </c>
      <c r="L415" s="5">
        <f>INDEX(products!$A$1:$G$49,MATCH($D415,products!$A$1:$A$49,0),MATCH(L$1,products!$A$1:$G$1,0))</f>
        <v>36.454999999999998</v>
      </c>
      <c r="M415" s="5">
        <f t="shared" si="19"/>
        <v>36.454999999999998</v>
      </c>
      <c r="N415" t="str">
        <f t="shared" si="21"/>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f>
        <v>Kiri Avramow</v>
      </c>
      <c r="G416" s="2" t="str">
        <f>IF(_xlfn.XLOOKUP(C416,customers!$A$1:$A$1001,customers!$C$1:$C$1001,,0)=0,"",_xlfn.XLOOKUP(C416,customers!$A$1:$A$1001,customers!$C$1:$C$1001,,0))</f>
        <v/>
      </c>
      <c r="H416" s="2" t="str">
        <f>_xlfn.XLOOKUP(C416,customers!$A$1:$A$1001,customers!$G$1:$G$1001,,0)</f>
        <v>United States</v>
      </c>
      <c r="I416" t="str">
        <f>INDEX(products!$A$1:$G$49,MATCH($D416,products!$A$1:$A$49,0),MATCH(I$1,products!$A$1:$G$1,0))</f>
        <v>Rob</v>
      </c>
      <c r="J416" t="str">
        <f>INDEX(products!$A$1:$G$49,MATCH($D416,products!$A$1:$A$49,0),MATCH(J$1,products!$A$1:$G$1,0))</f>
        <v>L</v>
      </c>
      <c r="K416" s="4">
        <f>INDEX(products!$A$1:$G$49,MATCH($D416,products!$A$1:$A$49,0),MATCH(K$1,products!$A$1:$G$1,0))</f>
        <v>0.2</v>
      </c>
      <c r="L416" s="5">
        <f>INDEX(products!$A$1:$G$49,MATCH($D416,products!$A$1:$A$49,0),MATCH(L$1,products!$A$1:$G$1,0))</f>
        <v>3.5849999999999995</v>
      </c>
      <c r="M416" s="5">
        <f t="shared" si="19"/>
        <v>10.754999999999999</v>
      </c>
      <c r="N416" t="str">
        <f t="shared" si="21"/>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INDEX(products!$A$1:$G$49,MATCH($D417,products!$A$1:$A$49,0),MATCH(I$1,products!$A$1:$G$1,0))</f>
        <v>Rob</v>
      </c>
      <c r="J417" t="str">
        <f>INDEX(products!$A$1:$G$49,MATCH($D417,products!$A$1:$A$49,0),MATCH(J$1,products!$A$1:$G$1,0))</f>
        <v>M</v>
      </c>
      <c r="K417" s="4">
        <f>INDEX(products!$A$1:$G$49,MATCH($D417,products!$A$1:$A$49,0),MATCH(K$1,products!$A$1:$G$1,0))</f>
        <v>0.2</v>
      </c>
      <c r="L417" s="5">
        <f>INDEX(products!$A$1:$G$49,MATCH($D417,products!$A$1:$A$49,0),MATCH(L$1,products!$A$1:$G$1,0))</f>
        <v>2.9849999999999999</v>
      </c>
      <c r="M417" s="5">
        <f t="shared" si="19"/>
        <v>8.9550000000000001</v>
      </c>
      <c r="N417" t="str">
        <f t="shared" si="21"/>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f>
        <v>Reggis Pracy</v>
      </c>
      <c r="G418" s="2" t="str">
        <f>IF(_xlfn.XLOOKUP(C418,customers!$A$1:$A$1001,customers!$C$1:$C$1001,,0)=0,"",_xlfn.XLOOKUP(C418,customers!$A$1:$A$1001,customers!$C$1:$C$1001,,0))</f>
        <v/>
      </c>
      <c r="H418" s="2" t="str">
        <f>_xlfn.XLOOKUP(C418,customers!$A$1:$A$1001,customers!$G$1:$G$1001,,0)</f>
        <v>United States</v>
      </c>
      <c r="I418" t="str">
        <f>INDEX(products!$A$1:$G$49,MATCH($D418,products!$A$1:$A$49,0),MATCH(I$1,products!$A$1:$G$1,0))</f>
        <v>Ara</v>
      </c>
      <c r="J418" t="str">
        <f>INDEX(products!$A$1:$G$49,MATCH($D418,products!$A$1:$A$49,0),MATCH(J$1,products!$A$1:$G$1,0))</f>
        <v>L</v>
      </c>
      <c r="K418" s="4">
        <f>INDEX(products!$A$1:$G$49,MATCH($D418,products!$A$1:$A$49,0),MATCH(K$1,products!$A$1:$G$1,0))</f>
        <v>0.5</v>
      </c>
      <c r="L418" s="5">
        <f>INDEX(products!$A$1:$G$49,MATCH($D418,products!$A$1:$A$49,0),MATCH(L$1,products!$A$1:$G$1,0))</f>
        <v>7.77</v>
      </c>
      <c r="M418" s="5">
        <f t="shared" si="19"/>
        <v>23.31</v>
      </c>
      <c r="N418" t="str">
        <f t="shared" si="21"/>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f>
        <v>Paula Denis</v>
      </c>
      <c r="G419" s="2" t="str">
        <f>IF(_xlfn.XLOOKUP(C419,customers!$A$1:$A$1001,customers!$C$1:$C$1001,,0)=0,"",_xlfn.XLOOKUP(C419,customers!$A$1:$A$1001,customers!$C$1:$C$1001,,0))</f>
        <v/>
      </c>
      <c r="H419" s="2" t="str">
        <f>_xlfn.XLOOKUP(C419,customers!$A$1:$A$1001,customers!$G$1:$G$1001,,0)</f>
        <v>United States</v>
      </c>
      <c r="I419" t="str">
        <f>INDEX(products!$A$1:$G$49,MATCH($D419,products!$A$1:$A$49,0),MATCH(I$1,products!$A$1:$G$1,0))</f>
        <v>Ara</v>
      </c>
      <c r="J419" t="str">
        <f>INDEX(products!$A$1:$G$49,MATCH($D419,products!$A$1:$A$49,0),MATCH(J$1,products!$A$1:$G$1,0))</f>
        <v>L</v>
      </c>
      <c r="K419" s="4">
        <f>INDEX(products!$A$1:$G$49,MATCH($D419,products!$A$1:$A$49,0),MATCH(K$1,products!$A$1:$G$1,0))</f>
        <v>2.5</v>
      </c>
      <c r="L419" s="5">
        <f>INDEX(products!$A$1:$G$49,MATCH($D419,products!$A$1:$A$49,0),MATCH(L$1,products!$A$1:$G$1,0))</f>
        <v>29.784999999999997</v>
      </c>
      <c r="M419" s="5">
        <f t="shared" si="19"/>
        <v>29.784999999999997</v>
      </c>
      <c r="N419" t="str">
        <f t="shared" si="21"/>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INDEX(products!$A$1:$G$49,MATCH($D420,products!$A$1:$A$49,0),MATCH(I$1,products!$A$1:$G$1,0))</f>
        <v>Ara</v>
      </c>
      <c r="J420" t="str">
        <f>INDEX(products!$A$1:$G$49,MATCH($D420,products!$A$1:$A$49,0),MATCH(J$1,products!$A$1:$G$1,0))</f>
        <v>L</v>
      </c>
      <c r="K420" s="4">
        <f>INDEX(products!$A$1:$G$49,MATCH($D420,products!$A$1:$A$49,0),MATCH(K$1,products!$A$1:$G$1,0))</f>
        <v>2.5</v>
      </c>
      <c r="L420" s="5">
        <f>INDEX(products!$A$1:$G$49,MATCH($D420,products!$A$1:$A$49,0),MATCH(L$1,products!$A$1:$G$1,0))</f>
        <v>29.784999999999997</v>
      </c>
      <c r="M420" s="5">
        <f t="shared" si="19"/>
        <v>148.92499999999998</v>
      </c>
      <c r="N420" t="str">
        <f t="shared" si="21"/>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INDEX(products!$A$1:$G$49,MATCH($D421,products!$A$1:$A$49,0),MATCH(I$1,products!$A$1:$G$1,0))</f>
        <v>Lib</v>
      </c>
      <c r="J421" t="str">
        <f>INDEX(products!$A$1:$G$49,MATCH($D421,products!$A$1:$A$49,0),MATCH(J$1,products!$A$1:$G$1,0))</f>
        <v>M</v>
      </c>
      <c r="K421" s="4">
        <f>INDEX(products!$A$1:$G$49,MATCH($D421,products!$A$1:$A$49,0),MATCH(K$1,products!$A$1:$G$1,0))</f>
        <v>0.5</v>
      </c>
      <c r="L421" s="5">
        <f>INDEX(products!$A$1:$G$49,MATCH($D421,products!$A$1:$A$49,0),MATCH(L$1,products!$A$1:$G$1,0))</f>
        <v>8.73</v>
      </c>
      <c r="M421" s="5">
        <f t="shared" si="19"/>
        <v>8.73</v>
      </c>
      <c r="N421" t="str">
        <f t="shared" si="21"/>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INDEX(products!$A$1:$G$49,MATCH($D422,products!$A$1:$A$49,0),MATCH(I$1,products!$A$1:$G$1,0))</f>
        <v>Lib</v>
      </c>
      <c r="J422" t="str">
        <f>INDEX(products!$A$1:$G$49,MATCH($D422,products!$A$1:$A$49,0),MATCH(J$1,products!$A$1:$G$1,0))</f>
        <v>D</v>
      </c>
      <c r="K422" s="4">
        <f>INDEX(products!$A$1:$G$49,MATCH($D422,products!$A$1:$A$49,0),MATCH(K$1,products!$A$1:$G$1,0))</f>
        <v>0.5</v>
      </c>
      <c r="L422" s="5">
        <f>INDEX(products!$A$1:$G$49,MATCH($D422,products!$A$1:$A$49,0),MATCH(L$1,products!$A$1:$G$1,0))</f>
        <v>7.77</v>
      </c>
      <c r="M422" s="5">
        <f t="shared" si="19"/>
        <v>31.08</v>
      </c>
      <c r="N422" t="str">
        <f t="shared" si="21"/>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INDEX(products!$A$1:$G$49,MATCH($D423,products!$A$1:$A$49,0),MATCH(I$1,products!$A$1:$G$1,0))</f>
        <v>Ara</v>
      </c>
      <c r="J423" t="str">
        <f>INDEX(products!$A$1:$G$49,MATCH($D423,products!$A$1:$A$49,0),MATCH(J$1,products!$A$1:$G$1,0))</f>
        <v>D</v>
      </c>
      <c r="K423" s="4">
        <f>INDEX(products!$A$1:$G$49,MATCH($D423,products!$A$1:$A$49,0),MATCH(K$1,products!$A$1:$G$1,0))</f>
        <v>2.5</v>
      </c>
      <c r="L423" s="5">
        <f>INDEX(products!$A$1:$G$49,MATCH($D423,products!$A$1:$A$49,0),MATCH(L$1,products!$A$1:$G$1,0))</f>
        <v>22.884999999999998</v>
      </c>
      <c r="M423" s="5">
        <f t="shared" si="19"/>
        <v>137.31</v>
      </c>
      <c r="N423" t="str">
        <f t="shared" si="21"/>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f>
        <v>Nevins Glowacz</v>
      </c>
      <c r="G424" s="2" t="str">
        <f>IF(_xlfn.XLOOKUP(C424,customers!$A$1:$A$1001,customers!$C$1:$C$1001,,0)=0,"",_xlfn.XLOOKUP(C424,customers!$A$1:$A$1001,customers!$C$1:$C$1001,,0))</f>
        <v/>
      </c>
      <c r="H424" s="2" t="str">
        <f>_xlfn.XLOOKUP(C424,customers!$A$1:$A$1001,customers!$G$1:$G$1001,,0)</f>
        <v>United States</v>
      </c>
      <c r="I424" t="str">
        <f>INDEX(products!$A$1:$G$49,MATCH($D424,products!$A$1:$A$49,0),MATCH(I$1,products!$A$1:$G$1,0))</f>
        <v>Ara</v>
      </c>
      <c r="J424" t="str">
        <f>INDEX(products!$A$1:$G$49,MATCH($D424,products!$A$1:$A$49,0),MATCH(J$1,products!$A$1:$G$1,0))</f>
        <v>D</v>
      </c>
      <c r="K424" s="4">
        <f>INDEX(products!$A$1:$G$49,MATCH($D424,products!$A$1:$A$49,0),MATCH(K$1,products!$A$1:$G$1,0))</f>
        <v>0.5</v>
      </c>
      <c r="L424" s="5">
        <f>INDEX(products!$A$1:$G$49,MATCH($D424,products!$A$1:$A$49,0),MATCH(L$1,products!$A$1:$G$1,0))</f>
        <v>5.97</v>
      </c>
      <c r="M424" s="5">
        <f t="shared" si="19"/>
        <v>29.849999999999998</v>
      </c>
      <c r="N424" t="str">
        <f t="shared" si="21"/>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f>
        <v>Adelice Isabell</v>
      </c>
      <c r="G425" s="2" t="str">
        <f>IF(_xlfn.XLOOKUP(C425,customers!$A$1:$A$1001,customers!$C$1:$C$1001,,0)=0,"",_xlfn.XLOOKUP(C425,customers!$A$1:$A$1001,customers!$C$1:$C$1001,,0))</f>
        <v/>
      </c>
      <c r="H425" s="2" t="str">
        <f>_xlfn.XLOOKUP(C425,customers!$A$1:$A$1001,customers!$G$1:$G$1001,,0)</f>
        <v>United States</v>
      </c>
      <c r="I425" t="str">
        <f>INDEX(products!$A$1:$G$49,MATCH($D425,products!$A$1:$A$49,0),MATCH(I$1,products!$A$1:$G$1,0))</f>
        <v>Rob</v>
      </c>
      <c r="J425" t="str">
        <f>INDEX(products!$A$1:$G$49,MATCH($D425,products!$A$1:$A$49,0),MATCH(J$1,products!$A$1:$G$1,0))</f>
        <v>M</v>
      </c>
      <c r="K425" s="4">
        <f>INDEX(products!$A$1:$G$49,MATCH($D425,products!$A$1:$A$49,0),MATCH(K$1,products!$A$1:$G$1,0))</f>
        <v>0.5</v>
      </c>
      <c r="L425" s="5">
        <f>INDEX(products!$A$1:$G$49,MATCH($D425,products!$A$1:$A$49,0),MATCH(L$1,products!$A$1:$G$1,0))</f>
        <v>5.97</v>
      </c>
      <c r="M425" s="5">
        <f t="shared" si="19"/>
        <v>17.91</v>
      </c>
      <c r="N425" t="str">
        <f t="shared" si="21"/>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INDEX(products!$A$1:$G$49,MATCH($D426,products!$A$1:$A$49,0),MATCH(I$1,products!$A$1:$G$1,0))</f>
        <v>Exc</v>
      </c>
      <c r="J426" t="str">
        <f>INDEX(products!$A$1:$G$49,MATCH($D426,products!$A$1:$A$49,0),MATCH(J$1,products!$A$1:$G$1,0))</f>
        <v>L</v>
      </c>
      <c r="K426" s="4">
        <f>INDEX(products!$A$1:$G$49,MATCH($D426,products!$A$1:$A$49,0),MATCH(K$1,products!$A$1:$G$1,0))</f>
        <v>0.5</v>
      </c>
      <c r="L426" s="5">
        <f>INDEX(products!$A$1:$G$49,MATCH($D426,products!$A$1:$A$49,0),MATCH(L$1,products!$A$1:$G$1,0))</f>
        <v>8.91</v>
      </c>
      <c r="M426" s="5">
        <f t="shared" si="19"/>
        <v>26.73</v>
      </c>
      <c r="N426" t="str">
        <f t="shared" si="21"/>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f>
        <v>Alric Darth</v>
      </c>
      <c r="G427" s="2" t="str">
        <f>IF(_xlfn.XLOOKUP(C427,customers!$A$1:$A$1001,customers!$C$1:$C$1001,,0)=0,"",_xlfn.XLOOKUP(C427,customers!$A$1:$A$1001,customers!$C$1:$C$1001,,0))</f>
        <v>adarthbt@t.co</v>
      </c>
      <c r="H427" s="2" t="str">
        <f>_xlfn.XLOOKUP(C427,customers!$A$1:$A$1001,customers!$G$1:$G$1001,,0)</f>
        <v>United States</v>
      </c>
      <c r="I427" t="str">
        <f>INDEX(products!$A$1:$G$49,MATCH($D427,products!$A$1:$A$49,0),MATCH(I$1,products!$A$1:$G$1,0))</f>
        <v>Rob</v>
      </c>
      <c r="J427" t="str">
        <f>INDEX(products!$A$1:$G$49,MATCH($D427,products!$A$1:$A$49,0),MATCH(J$1,products!$A$1:$G$1,0))</f>
        <v>D</v>
      </c>
      <c r="K427" s="4">
        <f>INDEX(products!$A$1:$G$49,MATCH($D427,products!$A$1:$A$49,0),MATCH(K$1,products!$A$1:$G$1,0))</f>
        <v>1</v>
      </c>
      <c r="L427" s="5">
        <f>INDEX(products!$A$1:$G$49,MATCH($D427,products!$A$1:$A$49,0),MATCH(L$1,products!$A$1:$G$1,0))</f>
        <v>8.9499999999999993</v>
      </c>
      <c r="M427" s="5">
        <f t="shared" si="19"/>
        <v>17.899999999999999</v>
      </c>
      <c r="N427" t="str">
        <f t="shared" si="21"/>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INDEX(products!$A$1:$G$49,MATCH($D428,products!$A$1:$A$49,0),MATCH(I$1,products!$A$1:$G$1,0))</f>
        <v>Rob</v>
      </c>
      <c r="J428" t="str">
        <f>INDEX(products!$A$1:$G$49,MATCH($D428,products!$A$1:$A$49,0),MATCH(J$1,products!$A$1:$G$1,0))</f>
        <v>L</v>
      </c>
      <c r="K428" s="4">
        <f>INDEX(products!$A$1:$G$49,MATCH($D428,products!$A$1:$A$49,0),MATCH(K$1,products!$A$1:$G$1,0))</f>
        <v>0.2</v>
      </c>
      <c r="L428" s="5">
        <f>INDEX(products!$A$1:$G$49,MATCH($D428,products!$A$1:$A$49,0),MATCH(L$1,products!$A$1:$G$1,0))</f>
        <v>3.5849999999999995</v>
      </c>
      <c r="M428" s="5">
        <f t="shared" si="19"/>
        <v>14.339999999999998</v>
      </c>
      <c r="N428" t="str">
        <f t="shared" si="21"/>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f>
        <v>Kynthia Berick</v>
      </c>
      <c r="G429" s="2" t="str">
        <f>IF(_xlfn.XLOOKUP(C429,customers!$A$1:$A$1001,customers!$C$1:$C$1001,,0)=0,"",_xlfn.XLOOKUP(C429,customers!$A$1:$A$1001,customers!$C$1:$C$1001,,0))</f>
        <v/>
      </c>
      <c r="H429" s="2" t="str">
        <f>_xlfn.XLOOKUP(C429,customers!$A$1:$A$1001,customers!$G$1:$G$1001,,0)</f>
        <v>United States</v>
      </c>
      <c r="I429" t="str">
        <f>INDEX(products!$A$1:$G$49,MATCH($D429,products!$A$1:$A$49,0),MATCH(I$1,products!$A$1:$G$1,0))</f>
        <v>Ara</v>
      </c>
      <c r="J429" t="str">
        <f>INDEX(products!$A$1:$G$49,MATCH($D429,products!$A$1:$A$49,0),MATCH(J$1,products!$A$1:$G$1,0))</f>
        <v>M</v>
      </c>
      <c r="K429" s="4">
        <f>INDEX(products!$A$1:$G$49,MATCH($D429,products!$A$1:$A$49,0),MATCH(K$1,products!$A$1:$G$1,0))</f>
        <v>2.5</v>
      </c>
      <c r="L429" s="5">
        <f>INDEX(products!$A$1:$G$49,MATCH($D429,products!$A$1:$A$49,0),MATCH(L$1,products!$A$1:$G$1,0))</f>
        <v>25.874999999999996</v>
      </c>
      <c r="M429" s="5">
        <f t="shared" si="19"/>
        <v>77.624999999999986</v>
      </c>
      <c r="N429" t="str">
        <f t="shared" si="21"/>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INDEX(products!$A$1:$G$49,MATCH($D430,products!$A$1:$A$49,0),MATCH(I$1,products!$A$1:$G$1,0))</f>
        <v>Rob</v>
      </c>
      <c r="J430" t="str">
        <f>INDEX(products!$A$1:$G$49,MATCH($D430,products!$A$1:$A$49,0),MATCH(J$1,products!$A$1:$G$1,0))</f>
        <v>L</v>
      </c>
      <c r="K430" s="4">
        <f>INDEX(products!$A$1:$G$49,MATCH($D430,products!$A$1:$A$49,0),MATCH(K$1,products!$A$1:$G$1,0))</f>
        <v>1</v>
      </c>
      <c r="L430" s="5">
        <f>INDEX(products!$A$1:$G$49,MATCH($D430,products!$A$1:$A$49,0),MATCH(L$1,products!$A$1:$G$1,0))</f>
        <v>11.95</v>
      </c>
      <c r="M430" s="5">
        <f t="shared" si="19"/>
        <v>59.75</v>
      </c>
      <c r="N430" t="str">
        <f t="shared" si="21"/>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INDEX(products!$A$1:$G$49,MATCH($D431,products!$A$1:$A$49,0),MATCH(I$1,products!$A$1:$G$1,0))</f>
        <v>Ara</v>
      </c>
      <c r="J431" t="str">
        <f>INDEX(products!$A$1:$G$49,MATCH($D431,products!$A$1:$A$49,0),MATCH(J$1,products!$A$1:$G$1,0))</f>
        <v>L</v>
      </c>
      <c r="K431" s="4">
        <f>INDEX(products!$A$1:$G$49,MATCH($D431,products!$A$1:$A$49,0),MATCH(K$1,products!$A$1:$G$1,0))</f>
        <v>1</v>
      </c>
      <c r="L431" s="5">
        <f>INDEX(products!$A$1:$G$49,MATCH($D431,products!$A$1:$A$49,0),MATCH(L$1,products!$A$1:$G$1,0))</f>
        <v>12.95</v>
      </c>
      <c r="M431" s="5">
        <f t="shared" si="19"/>
        <v>77.699999999999989</v>
      </c>
      <c r="N431" t="str">
        <f t="shared" si="21"/>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INDEX(products!$A$1:$G$49,MATCH($D432,products!$A$1:$A$49,0),MATCH(I$1,products!$A$1:$G$1,0))</f>
        <v>Rob</v>
      </c>
      <c r="J432" t="str">
        <f>INDEX(products!$A$1:$G$49,MATCH($D432,products!$A$1:$A$49,0),MATCH(J$1,products!$A$1:$G$1,0))</f>
        <v>D</v>
      </c>
      <c r="K432" s="4">
        <f>INDEX(products!$A$1:$G$49,MATCH($D432,products!$A$1:$A$49,0),MATCH(K$1,products!$A$1:$G$1,0))</f>
        <v>0.2</v>
      </c>
      <c r="L432" s="5">
        <f>INDEX(products!$A$1:$G$49,MATCH($D432,products!$A$1:$A$49,0),MATCH(L$1,products!$A$1:$G$1,0))</f>
        <v>2.6849999999999996</v>
      </c>
      <c r="M432" s="5">
        <f t="shared" si="19"/>
        <v>5.3699999999999992</v>
      </c>
      <c r="N432" t="str">
        <f t="shared" si="21"/>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f>
        <v>Witty Ranson</v>
      </c>
      <c r="G433" s="2" t="str">
        <f>IF(_xlfn.XLOOKUP(C433,customers!$A$1:$A$1001,customers!$C$1:$C$1001,,0)=0,"",_xlfn.XLOOKUP(C433,customers!$A$1:$A$1001,customers!$C$1:$C$1001,,0))</f>
        <v>wransonbz@ted.com</v>
      </c>
      <c r="H433" s="2" t="str">
        <f>_xlfn.XLOOKUP(C433,customers!$A$1:$A$1001,customers!$G$1:$G$1001,,0)</f>
        <v>Ireland</v>
      </c>
      <c r="I433" t="str">
        <f>INDEX(products!$A$1:$G$49,MATCH($D433,products!$A$1:$A$49,0),MATCH(I$1,products!$A$1:$G$1,0))</f>
        <v>Exc</v>
      </c>
      <c r="J433" t="str">
        <f>INDEX(products!$A$1:$G$49,MATCH($D433,products!$A$1:$A$49,0),MATCH(J$1,products!$A$1:$G$1,0))</f>
        <v>D</v>
      </c>
      <c r="K433" s="4">
        <f>INDEX(products!$A$1:$G$49,MATCH($D433,products!$A$1:$A$49,0),MATCH(K$1,products!$A$1:$G$1,0))</f>
        <v>2.5</v>
      </c>
      <c r="L433" s="5">
        <f>INDEX(products!$A$1:$G$49,MATCH($D433,products!$A$1:$A$49,0),MATCH(L$1,products!$A$1:$G$1,0))</f>
        <v>27.945</v>
      </c>
      <c r="M433" s="5">
        <f t="shared" si="19"/>
        <v>83.835000000000008</v>
      </c>
      <c r="N433" t="str">
        <f t="shared" si="21"/>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f>
        <v>Rod Gowdie</v>
      </c>
      <c r="G434" s="2" t="str">
        <f>IF(_xlfn.XLOOKUP(C434,customers!$A$1:$A$1001,customers!$C$1:$C$1001,,0)=0,"",_xlfn.XLOOKUP(C434,customers!$A$1:$A$1001,customers!$C$1:$C$1001,,0))</f>
        <v/>
      </c>
      <c r="H434" s="2" t="str">
        <f>_xlfn.XLOOKUP(C434,customers!$A$1:$A$1001,customers!$G$1:$G$1001,,0)</f>
        <v>United States</v>
      </c>
      <c r="I434" t="str">
        <f>INDEX(products!$A$1:$G$49,MATCH($D434,products!$A$1:$A$49,0),MATCH(I$1,products!$A$1:$G$1,0))</f>
        <v>Ara</v>
      </c>
      <c r="J434" t="str">
        <f>INDEX(products!$A$1:$G$49,MATCH($D434,products!$A$1:$A$49,0),MATCH(J$1,products!$A$1:$G$1,0))</f>
        <v>M</v>
      </c>
      <c r="K434" s="4">
        <f>INDEX(products!$A$1:$G$49,MATCH($D434,products!$A$1:$A$49,0),MATCH(K$1,products!$A$1:$G$1,0))</f>
        <v>1</v>
      </c>
      <c r="L434" s="5">
        <f>INDEX(products!$A$1:$G$49,MATCH($D434,products!$A$1:$A$49,0),MATCH(L$1,products!$A$1:$G$1,0))</f>
        <v>11.25</v>
      </c>
      <c r="M434" s="5">
        <f t="shared" si="19"/>
        <v>22.5</v>
      </c>
      <c r="N434" t="str">
        <f t="shared" si="21"/>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INDEX(products!$A$1:$G$49,MATCH($D435,products!$A$1:$A$49,0),MATCH(I$1,products!$A$1:$G$1,0))</f>
        <v>Lib</v>
      </c>
      <c r="J435" t="str">
        <f>INDEX(products!$A$1:$G$49,MATCH($D435,products!$A$1:$A$49,0),MATCH(J$1,products!$A$1:$G$1,0))</f>
        <v>M</v>
      </c>
      <c r="K435" s="4">
        <f>INDEX(products!$A$1:$G$49,MATCH($D435,products!$A$1:$A$49,0),MATCH(K$1,products!$A$1:$G$1,0))</f>
        <v>2.5</v>
      </c>
      <c r="L435" s="5">
        <f>INDEX(products!$A$1:$G$49,MATCH($D435,products!$A$1:$A$49,0),MATCH(L$1,products!$A$1:$G$1,0))</f>
        <v>33.464999999999996</v>
      </c>
      <c r="M435" s="5">
        <f t="shared" si="19"/>
        <v>200.78999999999996</v>
      </c>
      <c r="N435" t="str">
        <f t="shared" si="21"/>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f>
        <v>Nevsa Fields</v>
      </c>
      <c r="G436" s="2" t="str">
        <f>IF(_xlfn.XLOOKUP(C436,customers!$A$1:$A$1001,customers!$C$1:$C$1001,,0)=0,"",_xlfn.XLOOKUP(C436,customers!$A$1:$A$1001,customers!$C$1:$C$1001,,0))</f>
        <v/>
      </c>
      <c r="H436" s="2" t="str">
        <f>_xlfn.XLOOKUP(C436,customers!$A$1:$A$1001,customers!$G$1:$G$1001,,0)</f>
        <v>United States</v>
      </c>
      <c r="I436" t="str">
        <f>INDEX(products!$A$1:$G$49,MATCH($D436,products!$A$1:$A$49,0),MATCH(I$1,products!$A$1:$G$1,0))</f>
        <v>Ara</v>
      </c>
      <c r="J436" t="str">
        <f>INDEX(products!$A$1:$G$49,MATCH($D436,products!$A$1:$A$49,0),MATCH(J$1,products!$A$1:$G$1,0))</f>
        <v>M</v>
      </c>
      <c r="K436" s="4">
        <f>INDEX(products!$A$1:$G$49,MATCH($D436,products!$A$1:$A$49,0),MATCH(K$1,products!$A$1:$G$1,0))</f>
        <v>1</v>
      </c>
      <c r="L436" s="5">
        <f>INDEX(products!$A$1:$G$49,MATCH($D436,products!$A$1:$A$49,0),MATCH(L$1,products!$A$1:$G$1,0))</f>
        <v>11.25</v>
      </c>
      <c r="M436" s="5">
        <f t="shared" si="19"/>
        <v>67.5</v>
      </c>
      <c r="N436" t="str">
        <f t="shared" si="21"/>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INDEX(products!$A$1:$G$49,MATCH($D437,products!$A$1:$A$49,0),MATCH(I$1,products!$A$1:$G$1,0))</f>
        <v>Exc</v>
      </c>
      <c r="J437" t="str">
        <f>INDEX(products!$A$1:$G$49,MATCH($D437,products!$A$1:$A$49,0),MATCH(J$1,products!$A$1:$G$1,0))</f>
        <v>M</v>
      </c>
      <c r="K437" s="4">
        <f>INDEX(products!$A$1:$G$49,MATCH($D437,products!$A$1:$A$49,0),MATCH(K$1,products!$A$1:$G$1,0))</f>
        <v>0.5</v>
      </c>
      <c r="L437" s="5">
        <f>INDEX(products!$A$1:$G$49,MATCH($D437,products!$A$1:$A$49,0),MATCH(L$1,products!$A$1:$G$1,0))</f>
        <v>8.25</v>
      </c>
      <c r="M437" s="5">
        <f t="shared" si="19"/>
        <v>8.25</v>
      </c>
      <c r="N437" t="str">
        <f t="shared" si="21"/>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INDEX(products!$A$1:$G$49,MATCH($D438,products!$A$1:$A$49,0),MATCH(I$1,products!$A$1:$G$1,0))</f>
        <v>Lib</v>
      </c>
      <c r="J438" t="str">
        <f>INDEX(products!$A$1:$G$49,MATCH($D438,products!$A$1:$A$49,0),MATCH(J$1,products!$A$1:$G$1,0))</f>
        <v>L</v>
      </c>
      <c r="K438" s="4">
        <f>INDEX(products!$A$1:$G$49,MATCH($D438,products!$A$1:$A$49,0),MATCH(K$1,products!$A$1:$G$1,0))</f>
        <v>0.2</v>
      </c>
      <c r="L438" s="5">
        <f>INDEX(products!$A$1:$G$49,MATCH($D438,products!$A$1:$A$49,0),MATCH(L$1,products!$A$1:$G$1,0))</f>
        <v>4.7549999999999999</v>
      </c>
      <c r="M438" s="5">
        <f t="shared" si="19"/>
        <v>9.51</v>
      </c>
      <c r="N438" t="str">
        <f t="shared" si="21"/>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f>
        <v>Willabella Abramski</v>
      </c>
      <c r="G439" s="2" t="str">
        <f>IF(_xlfn.XLOOKUP(C439,customers!$A$1:$A$1001,customers!$C$1:$C$1001,,0)=0,"",_xlfn.XLOOKUP(C439,customers!$A$1:$A$1001,customers!$C$1:$C$1001,,0))</f>
        <v/>
      </c>
      <c r="H439" s="2" t="str">
        <f>_xlfn.XLOOKUP(C439,customers!$A$1:$A$1001,customers!$G$1:$G$1001,,0)</f>
        <v>United States</v>
      </c>
      <c r="I439" t="str">
        <f>INDEX(products!$A$1:$G$49,MATCH($D439,products!$A$1:$A$49,0),MATCH(I$1,products!$A$1:$G$1,0))</f>
        <v>Lib</v>
      </c>
      <c r="J439" t="str">
        <f>INDEX(products!$A$1:$G$49,MATCH($D439,products!$A$1:$A$49,0),MATCH(J$1,products!$A$1:$G$1,0))</f>
        <v>D</v>
      </c>
      <c r="K439" s="4">
        <f>INDEX(products!$A$1:$G$49,MATCH($D439,products!$A$1:$A$49,0),MATCH(K$1,products!$A$1:$G$1,0))</f>
        <v>2.5</v>
      </c>
      <c r="L439" s="5">
        <f>INDEX(products!$A$1:$G$49,MATCH($D439,products!$A$1:$A$49,0),MATCH(L$1,products!$A$1:$G$1,0))</f>
        <v>29.784999999999997</v>
      </c>
      <c r="M439" s="5">
        <f t="shared" si="19"/>
        <v>29.784999999999997</v>
      </c>
      <c r="N439" t="str">
        <f t="shared" si="21"/>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INDEX(products!$A$1:$G$49,MATCH($D440,products!$A$1:$A$49,0),MATCH(I$1,products!$A$1:$G$1,0))</f>
        <v>Lib</v>
      </c>
      <c r="J440" t="str">
        <f>INDEX(products!$A$1:$G$49,MATCH($D440,products!$A$1:$A$49,0),MATCH(J$1,products!$A$1:$G$1,0))</f>
        <v>D</v>
      </c>
      <c r="K440" s="4">
        <f>INDEX(products!$A$1:$G$49,MATCH($D440,products!$A$1:$A$49,0),MATCH(K$1,products!$A$1:$G$1,0))</f>
        <v>0.5</v>
      </c>
      <c r="L440" s="5">
        <f>INDEX(products!$A$1:$G$49,MATCH($D440,products!$A$1:$A$49,0),MATCH(L$1,products!$A$1:$G$1,0))</f>
        <v>7.77</v>
      </c>
      <c r="M440" s="5">
        <f t="shared" si="19"/>
        <v>15.54</v>
      </c>
      <c r="N440" t="str">
        <f t="shared" si="21"/>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INDEX(products!$A$1:$G$49,MATCH($D441,products!$A$1:$A$49,0),MATCH(I$1,products!$A$1:$G$1,0))</f>
        <v>Exc</v>
      </c>
      <c r="J441" t="str">
        <f>INDEX(products!$A$1:$G$49,MATCH($D441,products!$A$1:$A$49,0),MATCH(J$1,products!$A$1:$G$1,0))</f>
        <v>L</v>
      </c>
      <c r="K441" s="4">
        <f>INDEX(products!$A$1:$G$49,MATCH($D441,products!$A$1:$A$49,0),MATCH(K$1,products!$A$1:$G$1,0))</f>
        <v>0.5</v>
      </c>
      <c r="L441" s="5">
        <f>INDEX(products!$A$1:$G$49,MATCH($D441,products!$A$1:$A$49,0),MATCH(L$1,products!$A$1:$G$1,0))</f>
        <v>8.91</v>
      </c>
      <c r="M441" s="5">
        <f t="shared" si="19"/>
        <v>35.64</v>
      </c>
      <c r="N441" t="str">
        <f t="shared" si="21"/>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INDEX(products!$A$1:$G$49,MATCH($D442,products!$A$1:$A$49,0),MATCH(I$1,products!$A$1:$G$1,0))</f>
        <v>Ara</v>
      </c>
      <c r="J442" t="str">
        <f>INDEX(products!$A$1:$G$49,MATCH($D442,products!$A$1:$A$49,0),MATCH(J$1,products!$A$1:$G$1,0))</f>
        <v>M</v>
      </c>
      <c r="K442" s="4">
        <f>INDEX(products!$A$1:$G$49,MATCH($D442,products!$A$1:$A$49,0),MATCH(K$1,products!$A$1:$G$1,0))</f>
        <v>2.5</v>
      </c>
      <c r="L442" s="5">
        <f>INDEX(products!$A$1:$G$49,MATCH($D442,products!$A$1:$A$49,0),MATCH(L$1,products!$A$1:$G$1,0))</f>
        <v>25.874999999999996</v>
      </c>
      <c r="M442" s="5">
        <f t="shared" si="19"/>
        <v>103.49999999999999</v>
      </c>
      <c r="N442" t="str">
        <f t="shared" si="21"/>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INDEX(products!$A$1:$G$49,MATCH($D443,products!$A$1:$A$49,0),MATCH(I$1,products!$A$1:$G$1,0))</f>
        <v>Exc</v>
      </c>
      <c r="J443" t="str">
        <f>INDEX(products!$A$1:$G$49,MATCH($D443,products!$A$1:$A$49,0),MATCH(J$1,products!$A$1:$G$1,0))</f>
        <v>D</v>
      </c>
      <c r="K443" s="4">
        <f>INDEX(products!$A$1:$G$49,MATCH($D443,products!$A$1:$A$49,0),MATCH(K$1,products!$A$1:$G$1,0))</f>
        <v>1</v>
      </c>
      <c r="L443" s="5">
        <f>INDEX(products!$A$1:$G$49,MATCH($D443,products!$A$1:$A$49,0),MATCH(L$1,products!$A$1:$G$1,0))</f>
        <v>12.15</v>
      </c>
      <c r="M443" s="5">
        <f t="shared" si="19"/>
        <v>36.450000000000003</v>
      </c>
      <c r="N443" t="str">
        <f t="shared" si="21"/>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INDEX(products!$A$1:$G$49,MATCH($D444,products!$A$1:$A$49,0),MATCH(I$1,products!$A$1:$G$1,0))</f>
        <v>Rob</v>
      </c>
      <c r="J444" t="str">
        <f>INDEX(products!$A$1:$G$49,MATCH($D444,products!$A$1:$A$49,0),MATCH(J$1,products!$A$1:$G$1,0))</f>
        <v>L</v>
      </c>
      <c r="K444" s="4">
        <f>INDEX(products!$A$1:$G$49,MATCH($D444,products!$A$1:$A$49,0),MATCH(K$1,products!$A$1:$G$1,0))</f>
        <v>0.5</v>
      </c>
      <c r="L444" s="5">
        <f>INDEX(products!$A$1:$G$49,MATCH($D444,products!$A$1:$A$49,0),MATCH(L$1,products!$A$1:$G$1,0))</f>
        <v>7.169999999999999</v>
      </c>
      <c r="M444" s="5">
        <f t="shared" si="19"/>
        <v>35.849999999999994</v>
      </c>
      <c r="N444" t="str">
        <f t="shared" si="21"/>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f>
        <v>Theo Bowne</v>
      </c>
      <c r="G445" s="2" t="str">
        <f>IF(_xlfn.XLOOKUP(C445,customers!$A$1:$A$1001,customers!$C$1:$C$1001,,0)=0,"",_xlfn.XLOOKUP(C445,customers!$A$1:$A$1001,customers!$C$1:$C$1001,,0))</f>
        <v>tbownecb@unicef.org</v>
      </c>
      <c r="H445" s="2" t="str">
        <f>_xlfn.XLOOKUP(C445,customers!$A$1:$A$1001,customers!$G$1:$G$1001,,0)</f>
        <v>Ireland</v>
      </c>
      <c r="I445" t="str">
        <f>INDEX(products!$A$1:$G$49,MATCH($D445,products!$A$1:$A$49,0),MATCH(I$1,products!$A$1:$G$1,0))</f>
        <v>Exc</v>
      </c>
      <c r="J445" t="str">
        <f>INDEX(products!$A$1:$G$49,MATCH($D445,products!$A$1:$A$49,0),MATCH(J$1,products!$A$1:$G$1,0))</f>
        <v>L</v>
      </c>
      <c r="K445" s="4">
        <f>INDEX(products!$A$1:$G$49,MATCH($D445,products!$A$1:$A$49,0),MATCH(K$1,products!$A$1:$G$1,0))</f>
        <v>0.2</v>
      </c>
      <c r="L445" s="5">
        <f>INDEX(products!$A$1:$G$49,MATCH($D445,products!$A$1:$A$49,0),MATCH(L$1,products!$A$1:$G$1,0))</f>
        <v>4.4550000000000001</v>
      </c>
      <c r="M445" s="5">
        <f t="shared" si="19"/>
        <v>22.274999999999999</v>
      </c>
      <c r="N445" t="str">
        <f t="shared" si="21"/>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INDEX(products!$A$1:$G$49,MATCH($D446,products!$A$1:$A$49,0),MATCH(I$1,products!$A$1:$G$1,0))</f>
        <v>Exc</v>
      </c>
      <c r="J446" t="str">
        <f>INDEX(products!$A$1:$G$49,MATCH($D446,products!$A$1:$A$49,0),MATCH(J$1,products!$A$1:$G$1,0))</f>
        <v>M</v>
      </c>
      <c r="K446" s="4">
        <f>INDEX(products!$A$1:$G$49,MATCH($D446,products!$A$1:$A$49,0),MATCH(K$1,products!$A$1:$G$1,0))</f>
        <v>0.2</v>
      </c>
      <c r="L446" s="5">
        <f>INDEX(products!$A$1:$G$49,MATCH($D446,products!$A$1:$A$49,0),MATCH(L$1,products!$A$1:$G$1,0))</f>
        <v>4.125</v>
      </c>
      <c r="M446" s="5">
        <f t="shared" si="19"/>
        <v>24.75</v>
      </c>
      <c r="N446" t="str">
        <f t="shared" si="21"/>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INDEX(products!$A$1:$G$49,MATCH($D447,products!$A$1:$A$49,0),MATCH(I$1,products!$A$1:$G$1,0))</f>
        <v>Lib</v>
      </c>
      <c r="J447" t="str">
        <f>INDEX(products!$A$1:$G$49,MATCH($D447,products!$A$1:$A$49,0),MATCH(J$1,products!$A$1:$G$1,0))</f>
        <v>M</v>
      </c>
      <c r="K447" s="4">
        <f>INDEX(products!$A$1:$G$49,MATCH($D447,products!$A$1:$A$49,0),MATCH(K$1,products!$A$1:$G$1,0))</f>
        <v>2.5</v>
      </c>
      <c r="L447" s="5">
        <f>INDEX(products!$A$1:$G$49,MATCH($D447,products!$A$1:$A$49,0),MATCH(L$1,products!$A$1:$G$1,0))</f>
        <v>33.464999999999996</v>
      </c>
      <c r="M447" s="5">
        <f t="shared" si="19"/>
        <v>66.929999999999993</v>
      </c>
      <c r="N447" t="str">
        <f t="shared" si="21"/>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INDEX(products!$A$1:$G$49,MATCH($D448,products!$A$1:$A$49,0),MATCH(I$1,products!$A$1:$G$1,0))</f>
        <v>Lib</v>
      </c>
      <c r="J448" t="str">
        <f>INDEX(products!$A$1:$G$49,MATCH($D448,products!$A$1:$A$49,0),MATCH(J$1,products!$A$1:$G$1,0))</f>
        <v>M</v>
      </c>
      <c r="K448" s="4">
        <f>INDEX(products!$A$1:$G$49,MATCH($D448,products!$A$1:$A$49,0),MATCH(K$1,products!$A$1:$G$1,0))</f>
        <v>0.5</v>
      </c>
      <c r="L448" s="5">
        <f>INDEX(products!$A$1:$G$49,MATCH($D448,products!$A$1:$A$49,0),MATCH(L$1,products!$A$1:$G$1,0))</f>
        <v>8.73</v>
      </c>
      <c r="M448" s="5">
        <f t="shared" si="19"/>
        <v>8.73</v>
      </c>
      <c r="N448" t="str">
        <f t="shared" si="21"/>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INDEX(products!$A$1:$G$49,MATCH($D449,products!$A$1:$A$49,0),MATCH(I$1,products!$A$1:$G$1,0))</f>
        <v>Rob</v>
      </c>
      <c r="J449" t="str">
        <f>INDEX(products!$A$1:$G$49,MATCH($D449,products!$A$1:$A$49,0),MATCH(J$1,products!$A$1:$G$1,0))</f>
        <v>M</v>
      </c>
      <c r="K449" s="4">
        <f>INDEX(products!$A$1:$G$49,MATCH($D449,products!$A$1:$A$49,0),MATCH(K$1,products!$A$1:$G$1,0))</f>
        <v>0.5</v>
      </c>
      <c r="L449" s="5">
        <f>INDEX(products!$A$1:$G$49,MATCH($D449,products!$A$1:$A$49,0),MATCH(L$1,products!$A$1:$G$1,0))</f>
        <v>5.97</v>
      </c>
      <c r="M449" s="5">
        <f t="shared" si="19"/>
        <v>17.91</v>
      </c>
      <c r="N449" t="str">
        <f t="shared" si="21"/>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f>
        <v>Pru Durban</v>
      </c>
      <c r="G450" s="2" t="str">
        <f>IF(_xlfn.XLOOKUP(C450,customers!$A$1:$A$1001,customers!$C$1:$C$1001,,0)=0,"",_xlfn.XLOOKUP(C450,customers!$A$1:$A$1001,customers!$C$1:$C$1001,,0))</f>
        <v>pdurbancg@symantec.com</v>
      </c>
      <c r="H450" s="2" t="str">
        <f>_xlfn.XLOOKUP(C450,customers!$A$1:$A$1001,customers!$G$1:$G$1001,,0)</f>
        <v>Ireland</v>
      </c>
      <c r="I450" t="str">
        <f>INDEX(products!$A$1:$G$49,MATCH($D450,products!$A$1:$A$49,0),MATCH(I$1,products!$A$1:$G$1,0))</f>
        <v>Rob</v>
      </c>
      <c r="J450" t="str">
        <f>INDEX(products!$A$1:$G$49,MATCH($D450,products!$A$1:$A$49,0),MATCH(J$1,products!$A$1:$G$1,0))</f>
        <v>L</v>
      </c>
      <c r="K450" s="4">
        <f>INDEX(products!$A$1:$G$49,MATCH($D450,products!$A$1:$A$49,0),MATCH(K$1,products!$A$1:$G$1,0))</f>
        <v>0.5</v>
      </c>
      <c r="L450" s="5">
        <f>INDEX(products!$A$1:$G$49,MATCH($D450,products!$A$1:$A$49,0),MATCH(L$1,products!$A$1:$G$1,0))</f>
        <v>7.169999999999999</v>
      </c>
      <c r="M450" s="5">
        <f t="shared" si="19"/>
        <v>7.169999999999999</v>
      </c>
      <c r="N450" t="str">
        <f t="shared" si="21"/>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INDEX(products!$A$1:$G$49,MATCH($D451,products!$A$1:$A$49,0),MATCH(I$1,products!$A$1:$G$1,0))</f>
        <v>Rob</v>
      </c>
      <c r="J451" t="str">
        <f>INDEX(products!$A$1:$G$49,MATCH($D451,products!$A$1:$A$49,0),MATCH(J$1,products!$A$1:$G$1,0))</f>
        <v>D</v>
      </c>
      <c r="K451" s="4">
        <f>INDEX(products!$A$1:$G$49,MATCH($D451,products!$A$1:$A$49,0),MATCH(K$1,products!$A$1:$G$1,0))</f>
        <v>0.2</v>
      </c>
      <c r="L451" s="5">
        <f>INDEX(products!$A$1:$G$49,MATCH($D451,products!$A$1:$A$49,0),MATCH(L$1,products!$A$1:$G$1,0))</f>
        <v>2.6849999999999996</v>
      </c>
      <c r="M451" s="5">
        <f t="shared" ref="M451:M514" si="22">L451*E451</f>
        <v>5.3699999999999992</v>
      </c>
      <c r="N451" t="str">
        <f t="shared" si="21"/>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INDEX(products!$A$1:$G$49,MATCH($D452,products!$A$1:$A$49,0),MATCH(I$1,products!$A$1:$G$1,0))</f>
        <v>Lib</v>
      </c>
      <c r="J452" t="str">
        <f>INDEX(products!$A$1:$G$49,MATCH($D452,products!$A$1:$A$49,0),MATCH(J$1,products!$A$1:$G$1,0))</f>
        <v>L</v>
      </c>
      <c r="K452" s="4">
        <f>INDEX(products!$A$1:$G$49,MATCH($D452,products!$A$1:$A$49,0),MATCH(K$1,products!$A$1:$G$1,0))</f>
        <v>0.2</v>
      </c>
      <c r="L452" s="5">
        <f>INDEX(products!$A$1:$G$49,MATCH($D452,products!$A$1:$A$49,0),MATCH(L$1,products!$A$1:$G$1,0))</f>
        <v>4.7549999999999999</v>
      </c>
      <c r="M452" s="5">
        <f t="shared" si="22"/>
        <v>23.774999999999999</v>
      </c>
      <c r="N452" t="str">
        <f t="shared" si="21"/>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INDEX(products!$A$1:$G$49,MATCH($D453,products!$A$1:$A$49,0),MATCH(I$1,products!$A$1:$G$1,0))</f>
        <v>Rob</v>
      </c>
      <c r="J453" t="str">
        <f>INDEX(products!$A$1:$G$49,MATCH($D453,products!$A$1:$A$49,0),MATCH(J$1,products!$A$1:$G$1,0))</f>
        <v>D</v>
      </c>
      <c r="K453" s="4">
        <f>INDEX(products!$A$1:$G$49,MATCH($D453,products!$A$1:$A$49,0),MATCH(K$1,products!$A$1:$G$1,0))</f>
        <v>2.5</v>
      </c>
      <c r="L453" s="5">
        <f>INDEX(products!$A$1:$G$49,MATCH($D453,products!$A$1:$A$49,0),MATCH(L$1,products!$A$1:$G$1,0))</f>
        <v>20.584999999999997</v>
      </c>
      <c r="M453" s="5">
        <f t="shared" si="22"/>
        <v>41.169999999999995</v>
      </c>
      <c r="N453" t="str">
        <f t="shared" si="21"/>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INDEX(products!$A$1:$G$49,MATCH($D454,products!$A$1:$A$49,0),MATCH(I$1,products!$A$1:$G$1,0))</f>
        <v>Ara</v>
      </c>
      <c r="J454" t="str">
        <f>INDEX(products!$A$1:$G$49,MATCH($D454,products!$A$1:$A$49,0),MATCH(J$1,products!$A$1:$G$1,0))</f>
        <v>L</v>
      </c>
      <c r="K454" s="4">
        <f>INDEX(products!$A$1:$G$49,MATCH($D454,products!$A$1:$A$49,0),MATCH(K$1,products!$A$1:$G$1,0))</f>
        <v>0.2</v>
      </c>
      <c r="L454" s="5">
        <f>INDEX(products!$A$1:$G$49,MATCH($D454,products!$A$1:$A$49,0),MATCH(L$1,products!$A$1:$G$1,0))</f>
        <v>3.8849999999999998</v>
      </c>
      <c r="M454" s="5">
        <f t="shared" si="22"/>
        <v>11.654999999999999</v>
      </c>
      <c r="N454" t="str">
        <f t="shared" si="21"/>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INDEX(products!$A$1:$G$49,MATCH($D455,products!$A$1:$A$49,0),MATCH(I$1,products!$A$1:$G$1,0))</f>
        <v>Lib</v>
      </c>
      <c r="J455" t="str">
        <f>INDEX(products!$A$1:$G$49,MATCH($D455,products!$A$1:$A$49,0),MATCH(J$1,products!$A$1:$G$1,0))</f>
        <v>L</v>
      </c>
      <c r="K455" s="4">
        <f>INDEX(products!$A$1:$G$49,MATCH($D455,products!$A$1:$A$49,0),MATCH(K$1,products!$A$1:$G$1,0))</f>
        <v>0.5</v>
      </c>
      <c r="L455" s="5">
        <f>INDEX(products!$A$1:$G$49,MATCH($D455,products!$A$1:$A$49,0),MATCH(L$1,products!$A$1:$G$1,0))</f>
        <v>9.51</v>
      </c>
      <c r="M455" s="5">
        <f t="shared" si="22"/>
        <v>38.04</v>
      </c>
      <c r="N455" t="str">
        <f t="shared" ref="N455:N518" si="24">IF(I455="Rob","Robusta",IF(I455="Ara","Arabica",IF(I455="Exc","Excelsa",IF(I455="Lib","Liberica",""))))</f>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INDEX(products!$A$1:$G$49,MATCH($D456,products!$A$1:$A$49,0),MATCH(I$1,products!$A$1:$G$1,0))</f>
        <v>Rob</v>
      </c>
      <c r="J456" t="str">
        <f>INDEX(products!$A$1:$G$49,MATCH($D456,products!$A$1:$A$49,0),MATCH(J$1,products!$A$1:$G$1,0))</f>
        <v>D</v>
      </c>
      <c r="K456" s="4">
        <f>INDEX(products!$A$1:$G$49,MATCH($D456,products!$A$1:$A$49,0),MATCH(K$1,products!$A$1:$G$1,0))</f>
        <v>2.5</v>
      </c>
      <c r="L456" s="5">
        <f>INDEX(products!$A$1:$G$49,MATCH($D456,products!$A$1:$A$49,0),MATCH(L$1,products!$A$1:$G$1,0))</f>
        <v>20.584999999999997</v>
      </c>
      <c r="M456" s="5">
        <f t="shared" si="22"/>
        <v>82.339999999999989</v>
      </c>
      <c r="N456" t="str">
        <f t="shared" si="24"/>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INDEX(products!$A$1:$G$49,MATCH($D457,products!$A$1:$A$49,0),MATCH(I$1,products!$A$1:$G$1,0))</f>
        <v>Lib</v>
      </c>
      <c r="J457" t="str">
        <f>INDEX(products!$A$1:$G$49,MATCH($D457,products!$A$1:$A$49,0),MATCH(J$1,products!$A$1:$G$1,0))</f>
        <v>L</v>
      </c>
      <c r="K457" s="4">
        <f>INDEX(products!$A$1:$G$49,MATCH($D457,products!$A$1:$A$49,0),MATCH(K$1,products!$A$1:$G$1,0))</f>
        <v>0.2</v>
      </c>
      <c r="L457" s="5">
        <f>INDEX(products!$A$1:$G$49,MATCH($D457,products!$A$1:$A$49,0),MATCH(L$1,products!$A$1:$G$1,0))</f>
        <v>4.7549999999999999</v>
      </c>
      <c r="M457" s="5">
        <f t="shared" si="22"/>
        <v>9.51</v>
      </c>
      <c r="N457" t="str">
        <f t="shared" si="24"/>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INDEX(products!$A$1:$G$49,MATCH($D458,products!$A$1:$A$49,0),MATCH(I$1,products!$A$1:$G$1,0))</f>
        <v>Rob</v>
      </c>
      <c r="J458" t="str">
        <f>INDEX(products!$A$1:$G$49,MATCH($D458,products!$A$1:$A$49,0),MATCH(J$1,products!$A$1:$G$1,0))</f>
        <v>D</v>
      </c>
      <c r="K458" s="4">
        <f>INDEX(products!$A$1:$G$49,MATCH($D458,products!$A$1:$A$49,0),MATCH(K$1,products!$A$1:$G$1,0))</f>
        <v>2.5</v>
      </c>
      <c r="L458" s="5">
        <f>INDEX(products!$A$1:$G$49,MATCH($D458,products!$A$1:$A$49,0),MATCH(L$1,products!$A$1:$G$1,0))</f>
        <v>20.584999999999997</v>
      </c>
      <c r="M458" s="5">
        <f t="shared" si="22"/>
        <v>41.169999999999995</v>
      </c>
      <c r="N458" t="str">
        <f t="shared" si="24"/>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INDEX(products!$A$1:$G$49,MATCH($D459,products!$A$1:$A$49,0),MATCH(I$1,products!$A$1:$G$1,0))</f>
        <v>Lib</v>
      </c>
      <c r="J459" t="str">
        <f>INDEX(products!$A$1:$G$49,MATCH($D459,products!$A$1:$A$49,0),MATCH(J$1,products!$A$1:$G$1,0))</f>
        <v>L</v>
      </c>
      <c r="K459" s="4">
        <f>INDEX(products!$A$1:$G$49,MATCH($D459,products!$A$1:$A$49,0),MATCH(K$1,products!$A$1:$G$1,0))</f>
        <v>0.5</v>
      </c>
      <c r="L459" s="5">
        <f>INDEX(products!$A$1:$G$49,MATCH($D459,products!$A$1:$A$49,0),MATCH(L$1,products!$A$1:$G$1,0))</f>
        <v>9.51</v>
      </c>
      <c r="M459" s="5">
        <f t="shared" si="22"/>
        <v>47.55</v>
      </c>
      <c r="N459" t="str">
        <f t="shared" si="24"/>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INDEX(products!$A$1:$G$49,MATCH($D460,products!$A$1:$A$49,0),MATCH(I$1,products!$A$1:$G$1,0))</f>
        <v>Ara</v>
      </c>
      <c r="J460" t="str">
        <f>INDEX(products!$A$1:$G$49,MATCH($D460,products!$A$1:$A$49,0),MATCH(J$1,products!$A$1:$G$1,0))</f>
        <v>M</v>
      </c>
      <c r="K460" s="4">
        <f>INDEX(products!$A$1:$G$49,MATCH($D460,products!$A$1:$A$49,0),MATCH(K$1,products!$A$1:$G$1,0))</f>
        <v>1</v>
      </c>
      <c r="L460" s="5">
        <f>INDEX(products!$A$1:$G$49,MATCH($D460,products!$A$1:$A$49,0),MATCH(L$1,products!$A$1:$G$1,0))</f>
        <v>11.25</v>
      </c>
      <c r="M460" s="5">
        <f t="shared" si="22"/>
        <v>45</v>
      </c>
      <c r="N460" t="str">
        <f t="shared" si="24"/>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INDEX(products!$A$1:$G$49,MATCH($D461,products!$A$1:$A$49,0),MATCH(I$1,products!$A$1:$G$1,0))</f>
        <v>Lib</v>
      </c>
      <c r="J461" t="str">
        <f>INDEX(products!$A$1:$G$49,MATCH($D461,products!$A$1:$A$49,0),MATCH(J$1,products!$A$1:$G$1,0))</f>
        <v>L</v>
      </c>
      <c r="K461" s="4">
        <f>INDEX(products!$A$1:$G$49,MATCH($D461,products!$A$1:$A$49,0),MATCH(K$1,products!$A$1:$G$1,0))</f>
        <v>0.2</v>
      </c>
      <c r="L461" s="5">
        <f>INDEX(products!$A$1:$G$49,MATCH($D461,products!$A$1:$A$49,0),MATCH(L$1,products!$A$1:$G$1,0))</f>
        <v>4.7549999999999999</v>
      </c>
      <c r="M461" s="5">
        <f t="shared" si="22"/>
        <v>23.774999999999999</v>
      </c>
      <c r="N461" t="str">
        <f t="shared" si="24"/>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INDEX(products!$A$1:$G$49,MATCH($D462,products!$A$1:$A$49,0),MATCH(I$1,products!$A$1:$G$1,0))</f>
        <v>Rob</v>
      </c>
      <c r="J462" t="str">
        <f>INDEX(products!$A$1:$G$49,MATCH($D462,products!$A$1:$A$49,0),MATCH(J$1,products!$A$1:$G$1,0))</f>
        <v>D</v>
      </c>
      <c r="K462" s="4">
        <f>INDEX(products!$A$1:$G$49,MATCH($D462,products!$A$1:$A$49,0),MATCH(K$1,products!$A$1:$G$1,0))</f>
        <v>0.5</v>
      </c>
      <c r="L462" s="5">
        <f>INDEX(products!$A$1:$G$49,MATCH($D462,products!$A$1:$A$49,0),MATCH(L$1,products!$A$1:$G$1,0))</f>
        <v>5.3699999999999992</v>
      </c>
      <c r="M462" s="5">
        <f t="shared" si="22"/>
        <v>16.11</v>
      </c>
      <c r="N462" t="str">
        <f t="shared" si="24"/>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INDEX(products!$A$1:$G$49,MATCH($D463,products!$A$1:$A$49,0),MATCH(I$1,products!$A$1:$G$1,0))</f>
        <v>Rob</v>
      </c>
      <c r="J463" t="str">
        <f>INDEX(products!$A$1:$G$49,MATCH($D463,products!$A$1:$A$49,0),MATCH(J$1,products!$A$1:$G$1,0))</f>
        <v>D</v>
      </c>
      <c r="K463" s="4">
        <f>INDEX(products!$A$1:$G$49,MATCH($D463,products!$A$1:$A$49,0),MATCH(K$1,products!$A$1:$G$1,0))</f>
        <v>0.2</v>
      </c>
      <c r="L463" s="5">
        <f>INDEX(products!$A$1:$G$49,MATCH($D463,products!$A$1:$A$49,0),MATCH(L$1,products!$A$1:$G$1,0))</f>
        <v>2.6849999999999996</v>
      </c>
      <c r="M463" s="5">
        <f t="shared" si="22"/>
        <v>10.739999999999998</v>
      </c>
      <c r="N463" t="str">
        <f t="shared" si="24"/>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INDEX(products!$A$1:$G$49,MATCH($D464,products!$A$1:$A$49,0),MATCH(I$1,products!$A$1:$G$1,0))</f>
        <v>Ara</v>
      </c>
      <c r="J464" t="str">
        <f>INDEX(products!$A$1:$G$49,MATCH($D464,products!$A$1:$A$49,0),MATCH(J$1,products!$A$1:$G$1,0))</f>
        <v>D</v>
      </c>
      <c r="K464" s="4">
        <f>INDEX(products!$A$1:$G$49,MATCH($D464,products!$A$1:$A$49,0),MATCH(K$1,products!$A$1:$G$1,0))</f>
        <v>1</v>
      </c>
      <c r="L464" s="5">
        <f>INDEX(products!$A$1:$G$49,MATCH($D464,products!$A$1:$A$49,0),MATCH(L$1,products!$A$1:$G$1,0))</f>
        <v>9.9499999999999993</v>
      </c>
      <c r="M464" s="5">
        <f t="shared" si="22"/>
        <v>49.75</v>
      </c>
      <c r="N464" t="str">
        <f t="shared" si="24"/>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INDEX(products!$A$1:$G$49,MATCH($D465,products!$A$1:$A$49,0),MATCH(I$1,products!$A$1:$G$1,0))</f>
        <v>Exc</v>
      </c>
      <c r="J465" t="str">
        <f>INDEX(products!$A$1:$G$49,MATCH($D465,products!$A$1:$A$49,0),MATCH(J$1,products!$A$1:$G$1,0))</f>
        <v>M</v>
      </c>
      <c r="K465" s="4">
        <f>INDEX(products!$A$1:$G$49,MATCH($D465,products!$A$1:$A$49,0),MATCH(K$1,products!$A$1:$G$1,0))</f>
        <v>1</v>
      </c>
      <c r="L465" s="5">
        <f>INDEX(products!$A$1:$G$49,MATCH($D465,products!$A$1:$A$49,0),MATCH(L$1,products!$A$1:$G$1,0))</f>
        <v>13.75</v>
      </c>
      <c r="M465" s="5">
        <f t="shared" si="22"/>
        <v>27.5</v>
      </c>
      <c r="N465" t="str">
        <f t="shared" si="24"/>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INDEX(products!$A$1:$G$49,MATCH($D466,products!$A$1:$A$49,0),MATCH(I$1,products!$A$1:$G$1,0))</f>
        <v>Lib</v>
      </c>
      <c r="J466" t="str">
        <f>INDEX(products!$A$1:$G$49,MATCH($D466,products!$A$1:$A$49,0),MATCH(J$1,products!$A$1:$G$1,0))</f>
        <v>D</v>
      </c>
      <c r="K466" s="4">
        <f>INDEX(products!$A$1:$G$49,MATCH($D466,products!$A$1:$A$49,0),MATCH(K$1,products!$A$1:$G$1,0))</f>
        <v>2.5</v>
      </c>
      <c r="L466" s="5">
        <f>INDEX(products!$A$1:$G$49,MATCH($D466,products!$A$1:$A$49,0),MATCH(L$1,products!$A$1:$G$1,0))</f>
        <v>29.784999999999997</v>
      </c>
      <c r="M466" s="5">
        <f t="shared" si="22"/>
        <v>119.13999999999999</v>
      </c>
      <c r="N466" t="str">
        <f t="shared" si="24"/>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INDEX(products!$A$1:$G$49,MATCH($D467,products!$A$1:$A$49,0),MATCH(I$1,products!$A$1:$G$1,0))</f>
        <v>Rob</v>
      </c>
      <c r="J467" t="str">
        <f>INDEX(products!$A$1:$G$49,MATCH($D467,products!$A$1:$A$49,0),MATCH(J$1,products!$A$1:$G$1,0))</f>
        <v>D</v>
      </c>
      <c r="K467" s="4">
        <f>INDEX(products!$A$1:$G$49,MATCH($D467,products!$A$1:$A$49,0),MATCH(K$1,products!$A$1:$G$1,0))</f>
        <v>2.5</v>
      </c>
      <c r="L467" s="5">
        <f>INDEX(products!$A$1:$G$49,MATCH($D467,products!$A$1:$A$49,0),MATCH(L$1,products!$A$1:$G$1,0))</f>
        <v>20.584999999999997</v>
      </c>
      <c r="M467" s="5">
        <f t="shared" si="22"/>
        <v>20.584999999999997</v>
      </c>
      <c r="N467" t="str">
        <f t="shared" si="24"/>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INDEX(products!$A$1:$G$49,MATCH($D468,products!$A$1:$A$49,0),MATCH(I$1,products!$A$1:$G$1,0))</f>
        <v>Ara</v>
      </c>
      <c r="J468" t="str">
        <f>INDEX(products!$A$1:$G$49,MATCH($D468,products!$A$1:$A$49,0),MATCH(J$1,products!$A$1:$G$1,0))</f>
        <v>D</v>
      </c>
      <c r="K468" s="4">
        <f>INDEX(products!$A$1:$G$49,MATCH($D468,products!$A$1:$A$49,0),MATCH(K$1,products!$A$1:$G$1,0))</f>
        <v>0.2</v>
      </c>
      <c r="L468" s="5">
        <f>INDEX(products!$A$1:$G$49,MATCH($D468,products!$A$1:$A$49,0),MATCH(L$1,products!$A$1:$G$1,0))</f>
        <v>2.9849999999999999</v>
      </c>
      <c r="M468" s="5">
        <f t="shared" si="22"/>
        <v>8.9550000000000001</v>
      </c>
      <c r="N468" t="str">
        <f t="shared" si="24"/>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INDEX(products!$A$1:$G$49,MATCH($D469,products!$A$1:$A$49,0),MATCH(I$1,products!$A$1:$G$1,0))</f>
        <v>Ara</v>
      </c>
      <c r="J469" t="str">
        <f>INDEX(products!$A$1:$G$49,MATCH($D469,products!$A$1:$A$49,0),MATCH(J$1,products!$A$1:$G$1,0))</f>
        <v>D</v>
      </c>
      <c r="K469" s="4">
        <f>INDEX(products!$A$1:$G$49,MATCH($D469,products!$A$1:$A$49,0),MATCH(K$1,products!$A$1:$G$1,0))</f>
        <v>0.5</v>
      </c>
      <c r="L469" s="5">
        <f>INDEX(products!$A$1:$G$49,MATCH($D469,products!$A$1:$A$49,0),MATCH(L$1,products!$A$1:$G$1,0))</f>
        <v>5.97</v>
      </c>
      <c r="M469" s="5">
        <f t="shared" si="22"/>
        <v>5.97</v>
      </c>
      <c r="N469" t="str">
        <f t="shared" si="24"/>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INDEX(products!$A$1:$G$49,MATCH($D470,products!$A$1:$A$49,0),MATCH(I$1,products!$A$1:$G$1,0))</f>
        <v>Exc</v>
      </c>
      <c r="J470" t="str">
        <f>INDEX(products!$A$1:$G$49,MATCH($D470,products!$A$1:$A$49,0),MATCH(J$1,products!$A$1:$G$1,0))</f>
        <v>M</v>
      </c>
      <c r="K470" s="4">
        <f>INDEX(products!$A$1:$G$49,MATCH($D470,products!$A$1:$A$49,0),MATCH(K$1,products!$A$1:$G$1,0))</f>
        <v>1</v>
      </c>
      <c r="L470" s="5">
        <f>INDEX(products!$A$1:$G$49,MATCH($D470,products!$A$1:$A$49,0),MATCH(L$1,products!$A$1:$G$1,0))</f>
        <v>13.75</v>
      </c>
      <c r="M470" s="5">
        <f t="shared" si="22"/>
        <v>41.25</v>
      </c>
      <c r="N470" t="str">
        <f t="shared" si="24"/>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INDEX(products!$A$1:$G$49,MATCH($D471,products!$A$1:$A$49,0),MATCH(I$1,products!$A$1:$G$1,0))</f>
        <v>Exc</v>
      </c>
      <c r="J471" t="str">
        <f>INDEX(products!$A$1:$G$49,MATCH($D471,products!$A$1:$A$49,0),MATCH(J$1,products!$A$1:$G$1,0))</f>
        <v>L</v>
      </c>
      <c r="K471" s="4">
        <f>INDEX(products!$A$1:$G$49,MATCH($D471,products!$A$1:$A$49,0),MATCH(K$1,products!$A$1:$G$1,0))</f>
        <v>0.2</v>
      </c>
      <c r="L471" s="5">
        <f>INDEX(products!$A$1:$G$49,MATCH($D471,products!$A$1:$A$49,0),MATCH(L$1,products!$A$1:$G$1,0))</f>
        <v>4.4550000000000001</v>
      </c>
      <c r="M471" s="5">
        <f t="shared" si="22"/>
        <v>22.274999999999999</v>
      </c>
      <c r="N471" t="str">
        <f t="shared" si="24"/>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INDEX(products!$A$1:$G$49,MATCH($D472,products!$A$1:$A$49,0),MATCH(I$1,products!$A$1:$G$1,0))</f>
        <v>Ara</v>
      </c>
      <c r="J472" t="str">
        <f>INDEX(products!$A$1:$G$49,MATCH($D472,products!$A$1:$A$49,0),MATCH(J$1,products!$A$1:$G$1,0))</f>
        <v>M</v>
      </c>
      <c r="K472" s="4">
        <f>INDEX(products!$A$1:$G$49,MATCH($D472,products!$A$1:$A$49,0),MATCH(K$1,products!$A$1:$G$1,0))</f>
        <v>0.5</v>
      </c>
      <c r="L472" s="5">
        <f>INDEX(products!$A$1:$G$49,MATCH($D472,products!$A$1:$A$49,0),MATCH(L$1,products!$A$1:$G$1,0))</f>
        <v>6.75</v>
      </c>
      <c r="M472" s="5">
        <f t="shared" si="22"/>
        <v>6.75</v>
      </c>
      <c r="N472" t="str">
        <f t="shared" si="24"/>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f>
        <v>Lamond Gheeraert</v>
      </c>
      <c r="G473" s="2" t="str">
        <f>IF(_xlfn.XLOOKUP(C473,customers!$A$1:$A$1001,customers!$C$1:$C$1001,,0)=0,"",_xlfn.XLOOKUP(C473,customers!$A$1:$A$1001,customers!$C$1:$C$1001,,0))</f>
        <v/>
      </c>
      <c r="H473" s="2" t="str">
        <f>_xlfn.XLOOKUP(C473,customers!$A$1:$A$1001,customers!$G$1:$G$1001,,0)</f>
        <v>United States</v>
      </c>
      <c r="I473" t="str">
        <f>INDEX(products!$A$1:$G$49,MATCH($D473,products!$A$1:$A$49,0),MATCH(I$1,products!$A$1:$G$1,0))</f>
        <v>Lib</v>
      </c>
      <c r="J473" t="str">
        <f>INDEX(products!$A$1:$G$49,MATCH($D473,products!$A$1:$A$49,0),MATCH(J$1,products!$A$1:$G$1,0))</f>
        <v>M</v>
      </c>
      <c r="K473" s="4">
        <f>INDEX(products!$A$1:$G$49,MATCH($D473,products!$A$1:$A$49,0),MATCH(K$1,products!$A$1:$G$1,0))</f>
        <v>2.5</v>
      </c>
      <c r="L473" s="5">
        <f>INDEX(products!$A$1:$G$49,MATCH($D473,products!$A$1:$A$49,0),MATCH(L$1,products!$A$1:$G$1,0))</f>
        <v>33.464999999999996</v>
      </c>
      <c r="M473" s="5">
        <f t="shared" si="22"/>
        <v>133.85999999999999</v>
      </c>
      <c r="N473" t="str">
        <f t="shared" si="24"/>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INDEX(products!$A$1:$G$49,MATCH($D474,products!$A$1:$A$49,0),MATCH(I$1,products!$A$1:$G$1,0))</f>
        <v>Ara</v>
      </c>
      <c r="J474" t="str">
        <f>INDEX(products!$A$1:$G$49,MATCH($D474,products!$A$1:$A$49,0),MATCH(J$1,products!$A$1:$G$1,0))</f>
        <v>D</v>
      </c>
      <c r="K474" s="4">
        <f>INDEX(products!$A$1:$G$49,MATCH($D474,products!$A$1:$A$49,0),MATCH(K$1,products!$A$1:$G$1,0))</f>
        <v>0.2</v>
      </c>
      <c r="L474" s="5">
        <f>INDEX(products!$A$1:$G$49,MATCH($D474,products!$A$1:$A$49,0),MATCH(L$1,products!$A$1:$G$1,0))</f>
        <v>2.9849999999999999</v>
      </c>
      <c r="M474" s="5">
        <f t="shared" si="22"/>
        <v>5.97</v>
      </c>
      <c r="N474" t="str">
        <f t="shared" si="24"/>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INDEX(products!$A$1:$G$49,MATCH($D475,products!$A$1:$A$49,0),MATCH(I$1,products!$A$1:$G$1,0))</f>
        <v>Ara</v>
      </c>
      <c r="J475" t="str">
        <f>INDEX(products!$A$1:$G$49,MATCH($D475,products!$A$1:$A$49,0),MATCH(J$1,products!$A$1:$G$1,0))</f>
        <v>L</v>
      </c>
      <c r="K475" s="4">
        <f>INDEX(products!$A$1:$G$49,MATCH($D475,products!$A$1:$A$49,0),MATCH(K$1,products!$A$1:$G$1,0))</f>
        <v>1</v>
      </c>
      <c r="L475" s="5">
        <f>INDEX(products!$A$1:$G$49,MATCH($D475,products!$A$1:$A$49,0),MATCH(L$1,products!$A$1:$G$1,0))</f>
        <v>12.95</v>
      </c>
      <c r="M475" s="5">
        <f t="shared" si="22"/>
        <v>25.9</v>
      </c>
      <c r="N475" t="str">
        <f t="shared" si="24"/>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INDEX(products!$A$1:$G$49,MATCH($D476,products!$A$1:$A$49,0),MATCH(I$1,products!$A$1:$G$1,0))</f>
        <v>Exc</v>
      </c>
      <c r="J476" t="str">
        <f>INDEX(products!$A$1:$G$49,MATCH($D476,products!$A$1:$A$49,0),MATCH(J$1,products!$A$1:$G$1,0))</f>
        <v>M</v>
      </c>
      <c r="K476" s="4">
        <f>INDEX(products!$A$1:$G$49,MATCH($D476,products!$A$1:$A$49,0),MATCH(K$1,products!$A$1:$G$1,0))</f>
        <v>2.5</v>
      </c>
      <c r="L476" s="5">
        <f>INDEX(products!$A$1:$G$49,MATCH($D476,products!$A$1:$A$49,0),MATCH(L$1,products!$A$1:$G$1,0))</f>
        <v>31.624999999999996</v>
      </c>
      <c r="M476" s="5">
        <f t="shared" si="22"/>
        <v>31.624999999999996</v>
      </c>
      <c r="N476" t="str">
        <f t="shared" si="24"/>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INDEX(products!$A$1:$G$49,MATCH($D477,products!$A$1:$A$49,0),MATCH(I$1,products!$A$1:$G$1,0))</f>
        <v>Lib</v>
      </c>
      <c r="J477" t="str">
        <f>INDEX(products!$A$1:$G$49,MATCH($D477,products!$A$1:$A$49,0),MATCH(J$1,products!$A$1:$G$1,0))</f>
        <v>M</v>
      </c>
      <c r="K477" s="4">
        <f>INDEX(products!$A$1:$G$49,MATCH($D477,products!$A$1:$A$49,0),MATCH(K$1,products!$A$1:$G$1,0))</f>
        <v>0.2</v>
      </c>
      <c r="L477" s="5">
        <f>INDEX(products!$A$1:$G$49,MATCH($D477,products!$A$1:$A$49,0),MATCH(L$1,products!$A$1:$G$1,0))</f>
        <v>4.3650000000000002</v>
      </c>
      <c r="M477" s="5">
        <f t="shared" si="22"/>
        <v>8.73</v>
      </c>
      <c r="N477" t="str">
        <f t="shared" si="24"/>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INDEX(products!$A$1:$G$49,MATCH($D478,products!$A$1:$A$49,0),MATCH(I$1,products!$A$1:$G$1,0))</f>
        <v>Exc</v>
      </c>
      <c r="J478" t="str">
        <f>INDEX(products!$A$1:$G$49,MATCH($D478,products!$A$1:$A$49,0),MATCH(J$1,products!$A$1:$G$1,0))</f>
        <v>L</v>
      </c>
      <c r="K478" s="4">
        <f>INDEX(products!$A$1:$G$49,MATCH($D478,products!$A$1:$A$49,0),MATCH(K$1,products!$A$1:$G$1,0))</f>
        <v>0.2</v>
      </c>
      <c r="L478" s="5">
        <f>INDEX(products!$A$1:$G$49,MATCH($D478,products!$A$1:$A$49,0),MATCH(L$1,products!$A$1:$G$1,0))</f>
        <v>4.4550000000000001</v>
      </c>
      <c r="M478" s="5">
        <f t="shared" si="22"/>
        <v>26.73</v>
      </c>
      <c r="N478" t="str">
        <f t="shared" si="24"/>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INDEX(products!$A$1:$G$49,MATCH($D479,products!$A$1:$A$49,0),MATCH(I$1,products!$A$1:$G$1,0))</f>
        <v>Lib</v>
      </c>
      <c r="J479" t="str">
        <f>INDEX(products!$A$1:$G$49,MATCH($D479,products!$A$1:$A$49,0),MATCH(J$1,products!$A$1:$G$1,0))</f>
        <v>M</v>
      </c>
      <c r="K479" s="4">
        <f>INDEX(products!$A$1:$G$49,MATCH($D479,products!$A$1:$A$49,0),MATCH(K$1,products!$A$1:$G$1,0))</f>
        <v>0.2</v>
      </c>
      <c r="L479" s="5">
        <f>INDEX(products!$A$1:$G$49,MATCH($D479,products!$A$1:$A$49,0),MATCH(L$1,products!$A$1:$G$1,0))</f>
        <v>4.3650000000000002</v>
      </c>
      <c r="M479" s="5">
        <f t="shared" si="22"/>
        <v>26.19</v>
      </c>
      <c r="N479" t="str">
        <f t="shared" si="24"/>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INDEX(products!$A$1:$G$49,MATCH($D480,products!$A$1:$A$49,0),MATCH(I$1,products!$A$1:$G$1,0))</f>
        <v>Rob</v>
      </c>
      <c r="J480" t="str">
        <f>INDEX(products!$A$1:$G$49,MATCH($D480,products!$A$1:$A$49,0),MATCH(J$1,products!$A$1:$G$1,0))</f>
        <v>D</v>
      </c>
      <c r="K480" s="4">
        <f>INDEX(products!$A$1:$G$49,MATCH($D480,products!$A$1:$A$49,0),MATCH(K$1,products!$A$1:$G$1,0))</f>
        <v>1</v>
      </c>
      <c r="L480" s="5">
        <f>INDEX(products!$A$1:$G$49,MATCH($D480,products!$A$1:$A$49,0),MATCH(L$1,products!$A$1:$G$1,0))</f>
        <v>8.9499999999999993</v>
      </c>
      <c r="M480" s="5">
        <f t="shared" si="22"/>
        <v>53.699999999999996</v>
      </c>
      <c r="N480" t="str">
        <f t="shared" si="24"/>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INDEX(products!$A$1:$G$49,MATCH($D481,products!$A$1:$A$49,0),MATCH(I$1,products!$A$1:$G$1,0))</f>
        <v>Exc</v>
      </c>
      <c r="J481" t="str">
        <f>INDEX(products!$A$1:$G$49,MATCH($D481,products!$A$1:$A$49,0),MATCH(J$1,products!$A$1:$G$1,0))</f>
        <v>M</v>
      </c>
      <c r="K481" s="4">
        <f>INDEX(products!$A$1:$G$49,MATCH($D481,products!$A$1:$A$49,0),MATCH(K$1,products!$A$1:$G$1,0))</f>
        <v>2.5</v>
      </c>
      <c r="L481" s="5">
        <f>INDEX(products!$A$1:$G$49,MATCH($D481,products!$A$1:$A$49,0),MATCH(L$1,products!$A$1:$G$1,0))</f>
        <v>31.624999999999996</v>
      </c>
      <c r="M481" s="5">
        <f t="shared" si="22"/>
        <v>126.49999999999999</v>
      </c>
      <c r="N481" t="str">
        <f t="shared" si="24"/>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INDEX(products!$A$1:$G$49,MATCH($D482,products!$A$1:$A$49,0),MATCH(I$1,products!$A$1:$G$1,0))</f>
        <v>Exc</v>
      </c>
      <c r="J482" t="str">
        <f>INDEX(products!$A$1:$G$49,MATCH($D482,products!$A$1:$A$49,0),MATCH(J$1,products!$A$1:$G$1,0))</f>
        <v>M</v>
      </c>
      <c r="K482" s="4">
        <f>INDEX(products!$A$1:$G$49,MATCH($D482,products!$A$1:$A$49,0),MATCH(K$1,products!$A$1:$G$1,0))</f>
        <v>0.2</v>
      </c>
      <c r="L482" s="5">
        <f>INDEX(products!$A$1:$G$49,MATCH($D482,products!$A$1:$A$49,0),MATCH(L$1,products!$A$1:$G$1,0))</f>
        <v>4.125</v>
      </c>
      <c r="M482" s="5">
        <f t="shared" si="22"/>
        <v>4.125</v>
      </c>
      <c r="N482" t="str">
        <f t="shared" si="24"/>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INDEX(products!$A$1:$G$49,MATCH($D483,products!$A$1:$A$49,0),MATCH(I$1,products!$A$1:$G$1,0))</f>
        <v>Rob</v>
      </c>
      <c r="J483" t="str">
        <f>INDEX(products!$A$1:$G$49,MATCH($D483,products!$A$1:$A$49,0),MATCH(J$1,products!$A$1:$G$1,0))</f>
        <v>L</v>
      </c>
      <c r="K483" s="4">
        <f>INDEX(products!$A$1:$G$49,MATCH($D483,products!$A$1:$A$49,0),MATCH(K$1,products!$A$1:$G$1,0))</f>
        <v>1</v>
      </c>
      <c r="L483" s="5">
        <f>INDEX(products!$A$1:$G$49,MATCH($D483,products!$A$1:$A$49,0),MATCH(L$1,products!$A$1:$G$1,0))</f>
        <v>11.95</v>
      </c>
      <c r="M483" s="5">
        <f t="shared" si="22"/>
        <v>23.9</v>
      </c>
      <c r="N483" t="str">
        <f t="shared" si="24"/>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INDEX(products!$A$1:$G$49,MATCH($D484,products!$A$1:$A$49,0),MATCH(I$1,products!$A$1:$G$1,0))</f>
        <v>Exc</v>
      </c>
      <c r="J484" t="str">
        <f>INDEX(products!$A$1:$G$49,MATCH($D484,products!$A$1:$A$49,0),MATCH(J$1,products!$A$1:$G$1,0))</f>
        <v>D</v>
      </c>
      <c r="K484" s="4">
        <f>INDEX(products!$A$1:$G$49,MATCH($D484,products!$A$1:$A$49,0),MATCH(K$1,products!$A$1:$G$1,0))</f>
        <v>2.5</v>
      </c>
      <c r="L484" s="5">
        <f>INDEX(products!$A$1:$G$49,MATCH($D484,products!$A$1:$A$49,0),MATCH(L$1,products!$A$1:$G$1,0))</f>
        <v>27.945</v>
      </c>
      <c r="M484" s="5">
        <f t="shared" si="22"/>
        <v>139.72499999999999</v>
      </c>
      <c r="N484" t="str">
        <f t="shared" si="24"/>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f>
        <v>Orion Dyott</v>
      </c>
      <c r="G485" s="2" t="str">
        <f>IF(_xlfn.XLOOKUP(C485,customers!$A$1:$A$1001,customers!$C$1:$C$1001,,0)=0,"",_xlfn.XLOOKUP(C485,customers!$A$1:$A$1001,customers!$C$1:$C$1001,,0))</f>
        <v/>
      </c>
      <c r="H485" s="2" t="str">
        <f>_xlfn.XLOOKUP(C485,customers!$A$1:$A$1001,customers!$G$1:$G$1001,,0)</f>
        <v>United States</v>
      </c>
      <c r="I485" t="str">
        <f>INDEX(products!$A$1:$G$49,MATCH($D485,products!$A$1:$A$49,0),MATCH(I$1,products!$A$1:$G$1,0))</f>
        <v>Lib</v>
      </c>
      <c r="J485" t="str">
        <f>INDEX(products!$A$1:$G$49,MATCH($D485,products!$A$1:$A$49,0),MATCH(J$1,products!$A$1:$G$1,0))</f>
        <v>D</v>
      </c>
      <c r="K485" s="4">
        <f>INDEX(products!$A$1:$G$49,MATCH($D485,products!$A$1:$A$49,0),MATCH(K$1,products!$A$1:$G$1,0))</f>
        <v>2.5</v>
      </c>
      <c r="L485" s="5">
        <f>INDEX(products!$A$1:$G$49,MATCH($D485,products!$A$1:$A$49,0),MATCH(L$1,products!$A$1:$G$1,0))</f>
        <v>29.784999999999997</v>
      </c>
      <c r="M485" s="5">
        <f t="shared" si="22"/>
        <v>59.569999999999993</v>
      </c>
      <c r="N485" t="str">
        <f t="shared" si="24"/>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INDEX(products!$A$1:$G$49,MATCH($D486,products!$A$1:$A$49,0),MATCH(I$1,products!$A$1:$G$1,0))</f>
        <v>Lib</v>
      </c>
      <c r="J486" t="str">
        <f>INDEX(products!$A$1:$G$49,MATCH($D486,products!$A$1:$A$49,0),MATCH(J$1,products!$A$1:$G$1,0))</f>
        <v>L</v>
      </c>
      <c r="K486" s="4">
        <f>INDEX(products!$A$1:$G$49,MATCH($D486,products!$A$1:$A$49,0),MATCH(K$1,products!$A$1:$G$1,0))</f>
        <v>0.5</v>
      </c>
      <c r="L486" s="5">
        <f>INDEX(products!$A$1:$G$49,MATCH($D486,products!$A$1:$A$49,0),MATCH(L$1,products!$A$1:$G$1,0))</f>
        <v>9.51</v>
      </c>
      <c r="M486" s="5">
        <f t="shared" si="22"/>
        <v>57.06</v>
      </c>
      <c r="N486" t="str">
        <f t="shared" si="24"/>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INDEX(products!$A$1:$G$49,MATCH($D487,products!$A$1:$A$49,0),MATCH(I$1,products!$A$1:$G$1,0))</f>
        <v>Rob</v>
      </c>
      <c r="J487" t="str">
        <f>INDEX(products!$A$1:$G$49,MATCH($D487,products!$A$1:$A$49,0),MATCH(J$1,products!$A$1:$G$1,0))</f>
        <v>L</v>
      </c>
      <c r="K487" s="4">
        <f>INDEX(products!$A$1:$G$49,MATCH($D487,products!$A$1:$A$49,0),MATCH(K$1,products!$A$1:$G$1,0))</f>
        <v>0.2</v>
      </c>
      <c r="L487" s="5">
        <f>INDEX(products!$A$1:$G$49,MATCH($D487,products!$A$1:$A$49,0),MATCH(L$1,products!$A$1:$G$1,0))</f>
        <v>3.5849999999999995</v>
      </c>
      <c r="M487" s="5">
        <f t="shared" si="22"/>
        <v>21.509999999999998</v>
      </c>
      <c r="N487" t="str">
        <f t="shared" si="24"/>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INDEX(products!$A$1:$G$49,MATCH($D488,products!$A$1:$A$49,0),MATCH(I$1,products!$A$1:$G$1,0))</f>
        <v>Lib</v>
      </c>
      <c r="J488" t="str">
        <f>INDEX(products!$A$1:$G$49,MATCH($D488,products!$A$1:$A$49,0),MATCH(J$1,products!$A$1:$G$1,0))</f>
        <v>M</v>
      </c>
      <c r="K488" s="4">
        <f>INDEX(products!$A$1:$G$49,MATCH($D488,products!$A$1:$A$49,0),MATCH(K$1,products!$A$1:$G$1,0))</f>
        <v>0.5</v>
      </c>
      <c r="L488" s="5">
        <f>INDEX(products!$A$1:$G$49,MATCH($D488,products!$A$1:$A$49,0),MATCH(L$1,products!$A$1:$G$1,0))</f>
        <v>8.73</v>
      </c>
      <c r="M488" s="5">
        <f t="shared" si="22"/>
        <v>52.38</v>
      </c>
      <c r="N488" t="str">
        <f t="shared" si="24"/>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INDEX(products!$A$1:$G$49,MATCH($D489,products!$A$1:$A$49,0),MATCH(I$1,products!$A$1:$G$1,0))</f>
        <v>Exc</v>
      </c>
      <c r="J489" t="str">
        <f>INDEX(products!$A$1:$G$49,MATCH($D489,products!$A$1:$A$49,0),MATCH(J$1,products!$A$1:$G$1,0))</f>
        <v>D</v>
      </c>
      <c r="K489" s="4">
        <f>INDEX(products!$A$1:$G$49,MATCH($D489,products!$A$1:$A$49,0),MATCH(K$1,products!$A$1:$G$1,0))</f>
        <v>1</v>
      </c>
      <c r="L489" s="5">
        <f>INDEX(products!$A$1:$G$49,MATCH($D489,products!$A$1:$A$49,0),MATCH(L$1,products!$A$1:$G$1,0))</f>
        <v>12.15</v>
      </c>
      <c r="M489" s="5">
        <f t="shared" si="22"/>
        <v>72.900000000000006</v>
      </c>
      <c r="N489" t="str">
        <f t="shared" si="24"/>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f>
        <v>Becky Semkins</v>
      </c>
      <c r="G490" s="2" t="str">
        <f>IF(_xlfn.XLOOKUP(C490,customers!$A$1:$A$1001,customers!$C$1:$C$1001,,0)=0,"",_xlfn.XLOOKUP(C490,customers!$A$1:$A$1001,customers!$C$1:$C$1001,,0))</f>
        <v>bsemkinsdk@unc.edu</v>
      </c>
      <c r="H490" s="2" t="str">
        <f>_xlfn.XLOOKUP(C490,customers!$A$1:$A$1001,customers!$G$1:$G$1001,,0)</f>
        <v>Ireland</v>
      </c>
      <c r="I490" t="str">
        <f>INDEX(products!$A$1:$G$49,MATCH($D490,products!$A$1:$A$49,0),MATCH(I$1,products!$A$1:$G$1,0))</f>
        <v>Rob</v>
      </c>
      <c r="J490" t="str">
        <f>INDEX(products!$A$1:$G$49,MATCH($D490,products!$A$1:$A$49,0),MATCH(J$1,products!$A$1:$G$1,0))</f>
        <v>M</v>
      </c>
      <c r="K490" s="4">
        <f>INDEX(products!$A$1:$G$49,MATCH($D490,products!$A$1:$A$49,0),MATCH(K$1,products!$A$1:$G$1,0))</f>
        <v>0.2</v>
      </c>
      <c r="L490" s="5">
        <f>INDEX(products!$A$1:$G$49,MATCH($D490,products!$A$1:$A$49,0),MATCH(L$1,products!$A$1:$G$1,0))</f>
        <v>2.9849999999999999</v>
      </c>
      <c r="M490" s="5">
        <f t="shared" si="22"/>
        <v>14.924999999999999</v>
      </c>
      <c r="N490" t="str">
        <f t="shared" si="24"/>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INDEX(products!$A$1:$G$49,MATCH($D491,products!$A$1:$A$49,0),MATCH(I$1,products!$A$1:$G$1,0))</f>
        <v>Lib</v>
      </c>
      <c r="J491" t="str">
        <f>INDEX(products!$A$1:$G$49,MATCH($D491,products!$A$1:$A$49,0),MATCH(J$1,products!$A$1:$G$1,0))</f>
        <v>L</v>
      </c>
      <c r="K491" s="4">
        <f>INDEX(products!$A$1:$G$49,MATCH($D491,products!$A$1:$A$49,0),MATCH(K$1,products!$A$1:$G$1,0))</f>
        <v>1</v>
      </c>
      <c r="L491" s="5">
        <f>INDEX(products!$A$1:$G$49,MATCH($D491,products!$A$1:$A$49,0),MATCH(L$1,products!$A$1:$G$1,0))</f>
        <v>15.85</v>
      </c>
      <c r="M491" s="5">
        <f t="shared" si="22"/>
        <v>95.1</v>
      </c>
      <c r="N491" t="str">
        <f t="shared" si="24"/>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INDEX(products!$A$1:$G$49,MATCH($D492,products!$A$1:$A$49,0),MATCH(I$1,products!$A$1:$G$1,0))</f>
        <v>Lib</v>
      </c>
      <c r="J492" t="str">
        <f>INDEX(products!$A$1:$G$49,MATCH($D492,products!$A$1:$A$49,0),MATCH(J$1,products!$A$1:$G$1,0))</f>
        <v>D</v>
      </c>
      <c r="K492" s="4">
        <f>INDEX(products!$A$1:$G$49,MATCH($D492,products!$A$1:$A$49,0),MATCH(K$1,products!$A$1:$G$1,0))</f>
        <v>0.5</v>
      </c>
      <c r="L492" s="5">
        <f>INDEX(products!$A$1:$G$49,MATCH($D492,products!$A$1:$A$49,0),MATCH(L$1,products!$A$1:$G$1,0))</f>
        <v>7.77</v>
      </c>
      <c r="M492" s="5">
        <f t="shared" si="22"/>
        <v>15.54</v>
      </c>
      <c r="N492" t="str">
        <f t="shared" si="24"/>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f>
        <v>Kendra Backshell</v>
      </c>
      <c r="G493" s="2" t="str">
        <f>IF(_xlfn.XLOOKUP(C493,customers!$A$1:$A$1001,customers!$C$1:$C$1001,,0)=0,"",_xlfn.XLOOKUP(C493,customers!$A$1:$A$1001,customers!$C$1:$C$1001,,0))</f>
        <v/>
      </c>
      <c r="H493" s="2" t="str">
        <f>_xlfn.XLOOKUP(C493,customers!$A$1:$A$1001,customers!$G$1:$G$1001,,0)</f>
        <v>United States</v>
      </c>
      <c r="I493" t="str">
        <f>INDEX(products!$A$1:$G$49,MATCH($D493,products!$A$1:$A$49,0),MATCH(I$1,products!$A$1:$G$1,0))</f>
        <v>Lib</v>
      </c>
      <c r="J493" t="str">
        <f>INDEX(products!$A$1:$G$49,MATCH($D493,products!$A$1:$A$49,0),MATCH(J$1,products!$A$1:$G$1,0))</f>
        <v>D</v>
      </c>
      <c r="K493" s="4">
        <f>INDEX(products!$A$1:$G$49,MATCH($D493,products!$A$1:$A$49,0),MATCH(K$1,products!$A$1:$G$1,0))</f>
        <v>0.2</v>
      </c>
      <c r="L493" s="5">
        <f>INDEX(products!$A$1:$G$49,MATCH($D493,products!$A$1:$A$49,0),MATCH(L$1,products!$A$1:$G$1,0))</f>
        <v>3.8849999999999998</v>
      </c>
      <c r="M493" s="5">
        <f t="shared" si="22"/>
        <v>23.31</v>
      </c>
      <c r="N493" t="str">
        <f t="shared" si="24"/>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INDEX(products!$A$1:$G$49,MATCH($D494,products!$A$1:$A$49,0),MATCH(I$1,products!$A$1:$G$1,0))</f>
        <v>Exc</v>
      </c>
      <c r="J494" t="str">
        <f>INDEX(products!$A$1:$G$49,MATCH($D494,products!$A$1:$A$49,0),MATCH(J$1,products!$A$1:$G$1,0))</f>
        <v>M</v>
      </c>
      <c r="K494" s="4">
        <f>INDEX(products!$A$1:$G$49,MATCH($D494,products!$A$1:$A$49,0),MATCH(K$1,products!$A$1:$G$1,0))</f>
        <v>0.2</v>
      </c>
      <c r="L494" s="5">
        <f>INDEX(products!$A$1:$G$49,MATCH($D494,products!$A$1:$A$49,0),MATCH(L$1,products!$A$1:$G$1,0))</f>
        <v>4.125</v>
      </c>
      <c r="M494" s="5">
        <f t="shared" si="22"/>
        <v>4.125</v>
      </c>
      <c r="N494" t="str">
        <f t="shared" si="24"/>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INDEX(products!$A$1:$G$49,MATCH($D495,products!$A$1:$A$49,0),MATCH(I$1,products!$A$1:$G$1,0))</f>
        <v>Rob</v>
      </c>
      <c r="J495" t="str">
        <f>INDEX(products!$A$1:$G$49,MATCH($D495,products!$A$1:$A$49,0),MATCH(J$1,products!$A$1:$G$1,0))</f>
        <v>M</v>
      </c>
      <c r="K495" s="4">
        <f>INDEX(products!$A$1:$G$49,MATCH($D495,products!$A$1:$A$49,0),MATCH(K$1,products!$A$1:$G$1,0))</f>
        <v>0.5</v>
      </c>
      <c r="L495" s="5">
        <f>INDEX(products!$A$1:$G$49,MATCH($D495,products!$A$1:$A$49,0),MATCH(L$1,products!$A$1:$G$1,0))</f>
        <v>5.97</v>
      </c>
      <c r="M495" s="5">
        <f t="shared" si="22"/>
        <v>35.82</v>
      </c>
      <c r="N495" t="str">
        <f t="shared" si="24"/>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INDEX(products!$A$1:$G$49,MATCH($D496,products!$A$1:$A$49,0),MATCH(I$1,products!$A$1:$G$1,0))</f>
        <v>Lib</v>
      </c>
      <c r="J496" t="str">
        <f>INDEX(products!$A$1:$G$49,MATCH($D496,products!$A$1:$A$49,0),MATCH(J$1,products!$A$1:$G$1,0))</f>
        <v>L</v>
      </c>
      <c r="K496" s="4">
        <f>INDEX(products!$A$1:$G$49,MATCH($D496,products!$A$1:$A$49,0),MATCH(K$1,products!$A$1:$G$1,0))</f>
        <v>1</v>
      </c>
      <c r="L496" s="5">
        <f>INDEX(products!$A$1:$G$49,MATCH($D496,products!$A$1:$A$49,0),MATCH(L$1,products!$A$1:$G$1,0))</f>
        <v>15.85</v>
      </c>
      <c r="M496" s="5">
        <f t="shared" si="22"/>
        <v>31.7</v>
      </c>
      <c r="N496" t="str">
        <f t="shared" si="24"/>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f>
        <v>Currey MacAllister</v>
      </c>
      <c r="G497" s="2" t="str">
        <f>IF(_xlfn.XLOOKUP(C497,customers!$A$1:$A$1001,customers!$C$1:$C$1001,,0)=0,"",_xlfn.XLOOKUP(C497,customers!$A$1:$A$1001,customers!$C$1:$C$1001,,0))</f>
        <v/>
      </c>
      <c r="H497" s="2" t="str">
        <f>_xlfn.XLOOKUP(C497,customers!$A$1:$A$1001,customers!$G$1:$G$1001,,0)</f>
        <v>United States</v>
      </c>
      <c r="I497" t="str">
        <f>INDEX(products!$A$1:$G$49,MATCH($D497,products!$A$1:$A$49,0),MATCH(I$1,products!$A$1:$G$1,0))</f>
        <v>Lib</v>
      </c>
      <c r="J497" t="str">
        <f>INDEX(products!$A$1:$G$49,MATCH($D497,products!$A$1:$A$49,0),MATCH(J$1,products!$A$1:$G$1,0))</f>
        <v>L</v>
      </c>
      <c r="K497" s="4">
        <f>INDEX(products!$A$1:$G$49,MATCH($D497,products!$A$1:$A$49,0),MATCH(K$1,products!$A$1:$G$1,0))</f>
        <v>1</v>
      </c>
      <c r="L497" s="5">
        <f>INDEX(products!$A$1:$G$49,MATCH($D497,products!$A$1:$A$49,0),MATCH(L$1,products!$A$1:$G$1,0))</f>
        <v>15.85</v>
      </c>
      <c r="M497" s="5">
        <f t="shared" si="22"/>
        <v>79.25</v>
      </c>
      <c r="N497" t="str">
        <f t="shared" si="24"/>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INDEX(products!$A$1:$G$49,MATCH($D498,products!$A$1:$A$49,0),MATCH(I$1,products!$A$1:$G$1,0))</f>
        <v>Exc</v>
      </c>
      <c r="J498" t="str">
        <f>INDEX(products!$A$1:$G$49,MATCH($D498,products!$A$1:$A$49,0),MATCH(J$1,products!$A$1:$G$1,0))</f>
        <v>D</v>
      </c>
      <c r="K498" s="4">
        <f>INDEX(products!$A$1:$G$49,MATCH($D498,products!$A$1:$A$49,0),MATCH(K$1,products!$A$1:$G$1,0))</f>
        <v>0.2</v>
      </c>
      <c r="L498" s="5">
        <f>INDEX(products!$A$1:$G$49,MATCH($D498,products!$A$1:$A$49,0),MATCH(L$1,products!$A$1:$G$1,0))</f>
        <v>3.645</v>
      </c>
      <c r="M498" s="5">
        <f t="shared" si="22"/>
        <v>10.935</v>
      </c>
      <c r="N498" t="str">
        <f t="shared" si="24"/>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f>
        <v>Chantal Mersh</v>
      </c>
      <c r="G499" s="2" t="str">
        <f>IF(_xlfn.XLOOKUP(C499,customers!$A$1:$A$1001,customers!$C$1:$C$1001,,0)=0,"",_xlfn.XLOOKUP(C499,customers!$A$1:$A$1001,customers!$C$1:$C$1001,,0))</f>
        <v>cmershdt@drupal.org</v>
      </c>
      <c r="H499" s="2" t="str">
        <f>_xlfn.XLOOKUP(C499,customers!$A$1:$A$1001,customers!$G$1:$G$1001,,0)</f>
        <v>Ireland</v>
      </c>
      <c r="I499" t="str">
        <f>INDEX(products!$A$1:$G$49,MATCH($D499,products!$A$1:$A$49,0),MATCH(I$1,products!$A$1:$G$1,0))</f>
        <v>Ara</v>
      </c>
      <c r="J499" t="str">
        <f>INDEX(products!$A$1:$G$49,MATCH($D499,products!$A$1:$A$49,0),MATCH(J$1,products!$A$1:$G$1,0))</f>
        <v>D</v>
      </c>
      <c r="K499" s="4">
        <f>INDEX(products!$A$1:$G$49,MATCH($D499,products!$A$1:$A$49,0),MATCH(K$1,products!$A$1:$G$1,0))</f>
        <v>1</v>
      </c>
      <c r="L499" s="5">
        <f>INDEX(products!$A$1:$G$49,MATCH($D499,products!$A$1:$A$49,0),MATCH(L$1,products!$A$1:$G$1,0))</f>
        <v>9.9499999999999993</v>
      </c>
      <c r="M499" s="5">
        <f t="shared" si="22"/>
        <v>39.799999999999997</v>
      </c>
      <c r="N499" t="str">
        <f t="shared" si="24"/>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f>
        <v>Marja Urion</v>
      </c>
      <c r="G500" s="2" t="str">
        <f>IF(_xlfn.XLOOKUP(C500,customers!$A$1:$A$1001,customers!$C$1:$C$1001,,0)=0,"",_xlfn.XLOOKUP(C500,customers!$A$1:$A$1001,customers!$C$1:$C$1001,,0))</f>
        <v>murione5@alexa.com</v>
      </c>
      <c r="H500" s="2" t="str">
        <f>_xlfn.XLOOKUP(C500,customers!$A$1:$A$1001,customers!$G$1:$G$1001,,0)</f>
        <v>Ireland</v>
      </c>
      <c r="I500" t="str">
        <f>INDEX(products!$A$1:$G$49,MATCH($D500,products!$A$1:$A$49,0),MATCH(I$1,products!$A$1:$G$1,0))</f>
        <v>Rob</v>
      </c>
      <c r="J500" t="str">
        <f>INDEX(products!$A$1:$G$49,MATCH($D500,products!$A$1:$A$49,0),MATCH(J$1,products!$A$1:$G$1,0))</f>
        <v>M</v>
      </c>
      <c r="K500" s="4">
        <f>INDEX(products!$A$1:$G$49,MATCH($D500,products!$A$1:$A$49,0),MATCH(K$1,products!$A$1:$G$1,0))</f>
        <v>1</v>
      </c>
      <c r="L500" s="5">
        <f>INDEX(products!$A$1:$G$49,MATCH($D500,products!$A$1:$A$49,0),MATCH(L$1,products!$A$1:$G$1,0))</f>
        <v>9.9499999999999993</v>
      </c>
      <c r="M500" s="5">
        <f t="shared" si="22"/>
        <v>49.75</v>
      </c>
      <c r="N500" t="str">
        <f t="shared" si="24"/>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f>
        <v>Malynda Purbrick</v>
      </c>
      <c r="G501" s="2" t="str">
        <f>IF(_xlfn.XLOOKUP(C501,customers!$A$1:$A$1001,customers!$C$1:$C$1001,,0)=0,"",_xlfn.XLOOKUP(C501,customers!$A$1:$A$1001,customers!$C$1:$C$1001,,0))</f>
        <v/>
      </c>
      <c r="H501" s="2" t="str">
        <f>_xlfn.XLOOKUP(C501,customers!$A$1:$A$1001,customers!$G$1:$G$1001,,0)</f>
        <v>Ireland</v>
      </c>
      <c r="I501" t="str">
        <f>INDEX(products!$A$1:$G$49,MATCH($D501,products!$A$1:$A$49,0),MATCH(I$1,products!$A$1:$G$1,0))</f>
        <v>Rob</v>
      </c>
      <c r="J501" t="str">
        <f>INDEX(products!$A$1:$G$49,MATCH($D501,products!$A$1:$A$49,0),MATCH(J$1,products!$A$1:$G$1,0))</f>
        <v>D</v>
      </c>
      <c r="K501" s="4">
        <f>INDEX(products!$A$1:$G$49,MATCH($D501,products!$A$1:$A$49,0),MATCH(K$1,products!$A$1:$G$1,0))</f>
        <v>0.2</v>
      </c>
      <c r="L501" s="5">
        <f>INDEX(products!$A$1:$G$49,MATCH($D501,products!$A$1:$A$49,0),MATCH(L$1,products!$A$1:$G$1,0))</f>
        <v>2.6849999999999996</v>
      </c>
      <c r="M501" s="5">
        <f t="shared" si="22"/>
        <v>8.0549999999999997</v>
      </c>
      <c r="N501" t="str">
        <f t="shared" si="24"/>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f>
        <v>Alf Housaman</v>
      </c>
      <c r="G502" s="2" t="str">
        <f>IF(_xlfn.XLOOKUP(C502,customers!$A$1:$A$1001,customers!$C$1:$C$1001,,0)=0,"",_xlfn.XLOOKUP(C502,customers!$A$1:$A$1001,customers!$C$1:$C$1001,,0))</f>
        <v/>
      </c>
      <c r="H502" s="2" t="str">
        <f>_xlfn.XLOOKUP(C502,customers!$A$1:$A$1001,customers!$G$1:$G$1001,,0)</f>
        <v>United States</v>
      </c>
      <c r="I502" t="str">
        <f>INDEX(products!$A$1:$G$49,MATCH($D502,products!$A$1:$A$49,0),MATCH(I$1,products!$A$1:$G$1,0))</f>
        <v>Rob</v>
      </c>
      <c r="J502" t="str">
        <f>INDEX(products!$A$1:$G$49,MATCH($D502,products!$A$1:$A$49,0),MATCH(J$1,products!$A$1:$G$1,0))</f>
        <v>L</v>
      </c>
      <c r="K502" s="4">
        <f>INDEX(products!$A$1:$G$49,MATCH($D502,products!$A$1:$A$49,0),MATCH(K$1,products!$A$1:$G$1,0))</f>
        <v>1</v>
      </c>
      <c r="L502" s="5">
        <f>INDEX(products!$A$1:$G$49,MATCH($D502,products!$A$1:$A$49,0),MATCH(L$1,products!$A$1:$G$1,0))</f>
        <v>11.95</v>
      </c>
      <c r="M502" s="5">
        <f t="shared" si="22"/>
        <v>47.8</v>
      </c>
      <c r="N502" t="str">
        <f t="shared" si="24"/>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INDEX(products!$A$1:$G$49,MATCH($D503,products!$A$1:$A$49,0),MATCH(I$1,products!$A$1:$G$1,0))</f>
        <v>Rob</v>
      </c>
      <c r="J503" t="str">
        <f>INDEX(products!$A$1:$G$49,MATCH($D503,products!$A$1:$A$49,0),MATCH(J$1,products!$A$1:$G$1,0))</f>
        <v>M</v>
      </c>
      <c r="K503" s="4">
        <f>INDEX(products!$A$1:$G$49,MATCH($D503,products!$A$1:$A$49,0),MATCH(K$1,products!$A$1:$G$1,0))</f>
        <v>0.2</v>
      </c>
      <c r="L503" s="5">
        <f>INDEX(products!$A$1:$G$49,MATCH($D503,products!$A$1:$A$49,0),MATCH(L$1,products!$A$1:$G$1,0))</f>
        <v>2.9849999999999999</v>
      </c>
      <c r="M503" s="5">
        <f t="shared" si="22"/>
        <v>11.94</v>
      </c>
      <c r="N503" t="str">
        <f t="shared" si="24"/>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INDEX(products!$A$1:$G$49,MATCH($D504,products!$A$1:$A$49,0),MATCH(I$1,products!$A$1:$G$1,0))</f>
        <v>Exc</v>
      </c>
      <c r="J504" t="str">
        <f>INDEX(products!$A$1:$G$49,MATCH($D504,products!$A$1:$A$49,0),MATCH(J$1,products!$A$1:$G$1,0))</f>
        <v>M</v>
      </c>
      <c r="K504" s="4">
        <f>INDEX(products!$A$1:$G$49,MATCH($D504,products!$A$1:$A$49,0),MATCH(K$1,products!$A$1:$G$1,0))</f>
        <v>0.2</v>
      </c>
      <c r="L504" s="5">
        <f>INDEX(products!$A$1:$G$49,MATCH($D504,products!$A$1:$A$49,0),MATCH(L$1,products!$A$1:$G$1,0))</f>
        <v>4.125</v>
      </c>
      <c r="M504" s="5">
        <f t="shared" si="22"/>
        <v>16.5</v>
      </c>
      <c r="N504" t="str">
        <f t="shared" si="24"/>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INDEX(products!$A$1:$G$49,MATCH($D505,products!$A$1:$A$49,0),MATCH(I$1,products!$A$1:$G$1,0))</f>
        <v>Lib</v>
      </c>
      <c r="J505" t="str">
        <f>INDEX(products!$A$1:$G$49,MATCH($D505,products!$A$1:$A$49,0),MATCH(J$1,products!$A$1:$G$1,0))</f>
        <v>D</v>
      </c>
      <c r="K505" s="4">
        <f>INDEX(products!$A$1:$G$49,MATCH($D505,products!$A$1:$A$49,0),MATCH(K$1,products!$A$1:$G$1,0))</f>
        <v>1</v>
      </c>
      <c r="L505" s="5">
        <f>INDEX(products!$A$1:$G$49,MATCH($D505,products!$A$1:$A$49,0),MATCH(L$1,products!$A$1:$G$1,0))</f>
        <v>12.95</v>
      </c>
      <c r="M505" s="5">
        <f t="shared" si="22"/>
        <v>51.8</v>
      </c>
      <c r="N505" t="str">
        <f t="shared" si="24"/>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INDEX(products!$A$1:$G$49,MATCH($D506,products!$A$1:$A$49,0),MATCH(I$1,products!$A$1:$G$1,0))</f>
        <v>Lib</v>
      </c>
      <c r="J506" t="str">
        <f>INDEX(products!$A$1:$G$49,MATCH($D506,products!$A$1:$A$49,0),MATCH(J$1,products!$A$1:$G$1,0))</f>
        <v>L</v>
      </c>
      <c r="K506" s="4">
        <f>INDEX(products!$A$1:$G$49,MATCH($D506,products!$A$1:$A$49,0),MATCH(K$1,products!$A$1:$G$1,0))</f>
        <v>0.2</v>
      </c>
      <c r="L506" s="5">
        <f>INDEX(products!$A$1:$G$49,MATCH($D506,products!$A$1:$A$49,0),MATCH(L$1,products!$A$1:$G$1,0))</f>
        <v>4.7549999999999999</v>
      </c>
      <c r="M506" s="5">
        <f t="shared" si="22"/>
        <v>14.265000000000001</v>
      </c>
      <c r="N506" t="str">
        <f t="shared" si="24"/>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INDEX(products!$A$1:$G$49,MATCH($D507,products!$A$1:$A$49,0),MATCH(I$1,products!$A$1:$G$1,0))</f>
        <v>Lib</v>
      </c>
      <c r="J507" t="str">
        <f>INDEX(products!$A$1:$G$49,MATCH($D507,products!$A$1:$A$49,0),MATCH(J$1,products!$A$1:$G$1,0))</f>
        <v>M</v>
      </c>
      <c r="K507" s="4">
        <f>INDEX(products!$A$1:$G$49,MATCH($D507,products!$A$1:$A$49,0),MATCH(K$1,products!$A$1:$G$1,0))</f>
        <v>0.2</v>
      </c>
      <c r="L507" s="5">
        <f>INDEX(products!$A$1:$G$49,MATCH($D507,products!$A$1:$A$49,0),MATCH(L$1,products!$A$1:$G$1,0))</f>
        <v>4.3650000000000002</v>
      </c>
      <c r="M507" s="5">
        <f t="shared" si="22"/>
        <v>26.19</v>
      </c>
      <c r="N507" t="str">
        <f t="shared" si="24"/>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INDEX(products!$A$1:$G$49,MATCH($D508,products!$A$1:$A$49,0),MATCH(I$1,products!$A$1:$G$1,0))</f>
        <v>Ara</v>
      </c>
      <c r="J508" t="str">
        <f>INDEX(products!$A$1:$G$49,MATCH($D508,products!$A$1:$A$49,0),MATCH(J$1,products!$A$1:$G$1,0))</f>
        <v>L</v>
      </c>
      <c r="K508" s="4">
        <f>INDEX(products!$A$1:$G$49,MATCH($D508,products!$A$1:$A$49,0),MATCH(K$1,products!$A$1:$G$1,0))</f>
        <v>1</v>
      </c>
      <c r="L508" s="5">
        <f>INDEX(products!$A$1:$G$49,MATCH($D508,products!$A$1:$A$49,0),MATCH(L$1,products!$A$1:$G$1,0))</f>
        <v>12.95</v>
      </c>
      <c r="M508" s="5">
        <f t="shared" si="22"/>
        <v>25.9</v>
      </c>
      <c r="N508" t="str">
        <f t="shared" si="24"/>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INDEX(products!$A$1:$G$49,MATCH($D509,products!$A$1:$A$49,0),MATCH(I$1,products!$A$1:$G$1,0))</f>
        <v>Ara</v>
      </c>
      <c r="J509" t="str">
        <f>INDEX(products!$A$1:$G$49,MATCH($D509,products!$A$1:$A$49,0),MATCH(J$1,products!$A$1:$G$1,0))</f>
        <v>L</v>
      </c>
      <c r="K509" s="4">
        <f>INDEX(products!$A$1:$G$49,MATCH($D509,products!$A$1:$A$49,0),MATCH(K$1,products!$A$1:$G$1,0))</f>
        <v>2.5</v>
      </c>
      <c r="L509" s="5">
        <f>INDEX(products!$A$1:$G$49,MATCH($D509,products!$A$1:$A$49,0),MATCH(L$1,products!$A$1:$G$1,0))</f>
        <v>29.784999999999997</v>
      </c>
      <c r="M509" s="5">
        <f t="shared" si="22"/>
        <v>89.35499999999999</v>
      </c>
      <c r="N509" t="str">
        <f t="shared" si="24"/>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INDEX(products!$A$1:$G$49,MATCH($D510,products!$A$1:$A$49,0),MATCH(I$1,products!$A$1:$G$1,0))</f>
        <v>Lib</v>
      </c>
      <c r="J510" t="str">
        <f>INDEX(products!$A$1:$G$49,MATCH($D510,products!$A$1:$A$49,0),MATCH(J$1,products!$A$1:$G$1,0))</f>
        <v>D</v>
      </c>
      <c r="K510" s="4">
        <f>INDEX(products!$A$1:$G$49,MATCH($D510,products!$A$1:$A$49,0),MATCH(K$1,products!$A$1:$G$1,0))</f>
        <v>0.5</v>
      </c>
      <c r="L510" s="5">
        <f>INDEX(products!$A$1:$G$49,MATCH($D510,products!$A$1:$A$49,0),MATCH(L$1,products!$A$1:$G$1,0))</f>
        <v>7.77</v>
      </c>
      <c r="M510" s="5">
        <f t="shared" si="22"/>
        <v>46.62</v>
      </c>
      <c r="N510" t="str">
        <f t="shared" si="24"/>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f>
        <v>Marja Urion</v>
      </c>
      <c r="G511" s="2" t="str">
        <f>IF(_xlfn.XLOOKUP(C511,customers!$A$1:$A$1001,customers!$C$1:$C$1001,,0)=0,"",_xlfn.XLOOKUP(C511,customers!$A$1:$A$1001,customers!$C$1:$C$1001,,0))</f>
        <v>murione5@alexa.com</v>
      </c>
      <c r="H511" s="2" t="str">
        <f>_xlfn.XLOOKUP(C511,customers!$A$1:$A$1001,customers!$G$1:$G$1001,,0)</f>
        <v>Ireland</v>
      </c>
      <c r="I511" t="str">
        <f>INDEX(products!$A$1:$G$49,MATCH($D511,products!$A$1:$A$49,0),MATCH(I$1,products!$A$1:$G$1,0))</f>
        <v>Ara</v>
      </c>
      <c r="J511" t="str">
        <f>INDEX(products!$A$1:$G$49,MATCH($D511,products!$A$1:$A$49,0),MATCH(J$1,products!$A$1:$G$1,0))</f>
        <v>D</v>
      </c>
      <c r="K511" s="4">
        <f>INDEX(products!$A$1:$G$49,MATCH($D511,products!$A$1:$A$49,0),MATCH(K$1,products!$A$1:$G$1,0))</f>
        <v>1</v>
      </c>
      <c r="L511" s="5">
        <f>INDEX(products!$A$1:$G$49,MATCH($D511,products!$A$1:$A$49,0),MATCH(L$1,products!$A$1:$G$1,0))</f>
        <v>9.9499999999999993</v>
      </c>
      <c r="M511" s="5">
        <f t="shared" si="22"/>
        <v>29.849999999999998</v>
      </c>
      <c r="N511" t="str">
        <f t="shared" si="24"/>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f>
        <v>Camellia Kid</v>
      </c>
      <c r="G512" s="2" t="str">
        <f>IF(_xlfn.XLOOKUP(C512,customers!$A$1:$A$1001,customers!$C$1:$C$1001,,0)=0,"",_xlfn.XLOOKUP(C512,customers!$A$1:$A$1001,customers!$C$1:$C$1001,,0))</f>
        <v>ckide6@narod.ru</v>
      </c>
      <c r="H512" s="2" t="str">
        <f>_xlfn.XLOOKUP(C512,customers!$A$1:$A$1001,customers!$G$1:$G$1001,,0)</f>
        <v>Ireland</v>
      </c>
      <c r="I512" t="str">
        <f>INDEX(products!$A$1:$G$49,MATCH($D512,products!$A$1:$A$49,0),MATCH(I$1,products!$A$1:$G$1,0))</f>
        <v>Rob</v>
      </c>
      <c r="J512" t="str">
        <f>INDEX(products!$A$1:$G$49,MATCH($D512,products!$A$1:$A$49,0),MATCH(J$1,products!$A$1:$G$1,0))</f>
        <v>L</v>
      </c>
      <c r="K512" s="4">
        <f>INDEX(products!$A$1:$G$49,MATCH($D512,products!$A$1:$A$49,0),MATCH(K$1,products!$A$1:$G$1,0))</f>
        <v>0.2</v>
      </c>
      <c r="L512" s="5">
        <f>INDEX(products!$A$1:$G$49,MATCH($D512,products!$A$1:$A$49,0),MATCH(L$1,products!$A$1:$G$1,0))</f>
        <v>3.5849999999999995</v>
      </c>
      <c r="M512" s="5">
        <f t="shared" si="22"/>
        <v>10.754999999999999</v>
      </c>
      <c r="N512" t="str">
        <f t="shared" si="24"/>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INDEX(products!$A$1:$G$49,MATCH($D513,products!$A$1:$A$49,0),MATCH(I$1,products!$A$1:$G$1,0))</f>
        <v>Ara</v>
      </c>
      <c r="J513" t="str">
        <f>INDEX(products!$A$1:$G$49,MATCH($D513,products!$A$1:$A$49,0),MATCH(J$1,products!$A$1:$G$1,0))</f>
        <v>M</v>
      </c>
      <c r="K513" s="4">
        <f>INDEX(products!$A$1:$G$49,MATCH($D513,products!$A$1:$A$49,0),MATCH(K$1,products!$A$1:$G$1,0))</f>
        <v>0.2</v>
      </c>
      <c r="L513" s="5">
        <f>INDEX(products!$A$1:$G$49,MATCH($D513,products!$A$1:$A$49,0),MATCH(L$1,products!$A$1:$G$1,0))</f>
        <v>3.375</v>
      </c>
      <c r="M513" s="5">
        <f t="shared" si="22"/>
        <v>13.5</v>
      </c>
      <c r="N513" t="str">
        <f t="shared" si="24"/>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INDEX(products!$A$1:$G$49,MATCH($D514,products!$A$1:$A$49,0),MATCH(I$1,products!$A$1:$G$1,0))</f>
        <v>Lib</v>
      </c>
      <c r="J514" t="str">
        <f>INDEX(products!$A$1:$G$49,MATCH($D514,products!$A$1:$A$49,0),MATCH(J$1,products!$A$1:$G$1,0))</f>
        <v>L</v>
      </c>
      <c r="K514" s="4">
        <f>INDEX(products!$A$1:$G$49,MATCH($D514,products!$A$1:$A$49,0),MATCH(K$1,products!$A$1:$G$1,0))</f>
        <v>1</v>
      </c>
      <c r="L514" s="5">
        <f>INDEX(products!$A$1:$G$49,MATCH($D514,products!$A$1:$A$49,0),MATCH(L$1,products!$A$1:$G$1,0))</f>
        <v>15.85</v>
      </c>
      <c r="M514" s="5">
        <f t="shared" si="22"/>
        <v>47.55</v>
      </c>
      <c r="N514" t="str">
        <f t="shared" si="24"/>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INDEX(products!$A$1:$G$49,MATCH($D515,products!$A$1:$A$49,0),MATCH(I$1,products!$A$1:$G$1,0))</f>
        <v>Lib</v>
      </c>
      <c r="J515" t="str">
        <f>INDEX(products!$A$1:$G$49,MATCH($D515,products!$A$1:$A$49,0),MATCH(J$1,products!$A$1:$G$1,0))</f>
        <v>L</v>
      </c>
      <c r="K515" s="4">
        <f>INDEX(products!$A$1:$G$49,MATCH($D515,products!$A$1:$A$49,0),MATCH(K$1,products!$A$1:$G$1,0))</f>
        <v>1</v>
      </c>
      <c r="L515" s="5">
        <f>INDEX(products!$A$1:$G$49,MATCH($D515,products!$A$1:$A$49,0),MATCH(L$1,products!$A$1:$G$1,0))</f>
        <v>15.85</v>
      </c>
      <c r="M515" s="5">
        <f t="shared" ref="M515:M578" si="25">L515*E515</f>
        <v>79.25</v>
      </c>
      <c r="N515" t="str">
        <f t="shared" si="24"/>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INDEX(products!$A$1:$G$49,MATCH($D516,products!$A$1:$A$49,0),MATCH(I$1,products!$A$1:$G$1,0))</f>
        <v>Lib</v>
      </c>
      <c r="J516" t="str">
        <f>INDEX(products!$A$1:$G$49,MATCH($D516,products!$A$1:$A$49,0),MATCH(J$1,products!$A$1:$G$1,0))</f>
        <v>M</v>
      </c>
      <c r="K516" s="4">
        <f>INDEX(products!$A$1:$G$49,MATCH($D516,products!$A$1:$A$49,0),MATCH(K$1,products!$A$1:$G$1,0))</f>
        <v>0.2</v>
      </c>
      <c r="L516" s="5">
        <f>INDEX(products!$A$1:$G$49,MATCH($D516,products!$A$1:$A$49,0),MATCH(L$1,products!$A$1:$G$1,0))</f>
        <v>4.3650000000000002</v>
      </c>
      <c r="M516" s="5">
        <f t="shared" si="25"/>
        <v>26.19</v>
      </c>
      <c r="N516" t="str">
        <f t="shared" si="24"/>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INDEX(products!$A$1:$G$49,MATCH($D517,products!$A$1:$A$49,0),MATCH(I$1,products!$A$1:$G$1,0))</f>
        <v>Rob</v>
      </c>
      <c r="J517" t="str">
        <f>INDEX(products!$A$1:$G$49,MATCH($D517,products!$A$1:$A$49,0),MATCH(J$1,products!$A$1:$G$1,0))</f>
        <v>L</v>
      </c>
      <c r="K517" s="4">
        <f>INDEX(products!$A$1:$G$49,MATCH($D517,products!$A$1:$A$49,0),MATCH(K$1,products!$A$1:$G$1,0))</f>
        <v>0.5</v>
      </c>
      <c r="L517" s="5">
        <f>INDEX(products!$A$1:$G$49,MATCH($D517,products!$A$1:$A$49,0),MATCH(L$1,products!$A$1:$G$1,0))</f>
        <v>7.169999999999999</v>
      </c>
      <c r="M517" s="5">
        <f t="shared" si="25"/>
        <v>21.509999999999998</v>
      </c>
      <c r="N517" t="str">
        <f t="shared" si="24"/>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f>
        <v>Cindra Burling</v>
      </c>
      <c r="G518" s="2" t="str">
        <f>IF(_xlfn.XLOOKUP(C518,customers!$A$1:$A$1001,customers!$C$1:$C$1001,,0)=0,"",_xlfn.XLOOKUP(C518,customers!$A$1:$A$1001,customers!$C$1:$C$1001,,0))</f>
        <v/>
      </c>
      <c r="H518" s="2" t="str">
        <f>_xlfn.XLOOKUP(C518,customers!$A$1:$A$1001,customers!$G$1:$G$1001,,0)</f>
        <v>United States</v>
      </c>
      <c r="I518" t="str">
        <f>INDEX(products!$A$1:$G$49,MATCH($D518,products!$A$1:$A$49,0),MATCH(I$1,products!$A$1:$G$1,0))</f>
        <v>Rob</v>
      </c>
      <c r="J518" t="str">
        <f>INDEX(products!$A$1:$G$49,MATCH($D518,products!$A$1:$A$49,0),MATCH(J$1,products!$A$1:$G$1,0))</f>
        <v>D</v>
      </c>
      <c r="K518" s="4">
        <f>INDEX(products!$A$1:$G$49,MATCH($D518,products!$A$1:$A$49,0),MATCH(K$1,products!$A$1:$G$1,0))</f>
        <v>2.5</v>
      </c>
      <c r="L518" s="5">
        <f>INDEX(products!$A$1:$G$49,MATCH($D518,products!$A$1:$A$49,0),MATCH(L$1,products!$A$1:$G$1,0))</f>
        <v>20.584999999999997</v>
      </c>
      <c r="M518" s="5">
        <f t="shared" si="25"/>
        <v>102.92499999999998</v>
      </c>
      <c r="N518" t="str">
        <f t="shared" si="24"/>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f>
        <v>Channa Belamy</v>
      </c>
      <c r="G519" s="2" t="str">
        <f>IF(_xlfn.XLOOKUP(C519,customers!$A$1:$A$1001,customers!$C$1:$C$1001,,0)=0,"",_xlfn.XLOOKUP(C519,customers!$A$1:$A$1001,customers!$C$1:$C$1001,,0))</f>
        <v/>
      </c>
      <c r="H519" s="2" t="str">
        <f>_xlfn.XLOOKUP(C519,customers!$A$1:$A$1001,customers!$G$1:$G$1001,,0)</f>
        <v>United States</v>
      </c>
      <c r="I519" t="str">
        <f>INDEX(products!$A$1:$G$49,MATCH($D519,products!$A$1:$A$49,0),MATCH(I$1,products!$A$1:$G$1,0))</f>
        <v>Lib</v>
      </c>
      <c r="J519" t="str">
        <f>INDEX(products!$A$1:$G$49,MATCH($D519,products!$A$1:$A$49,0),MATCH(J$1,products!$A$1:$G$1,0))</f>
        <v>D</v>
      </c>
      <c r="K519" s="4">
        <f>INDEX(products!$A$1:$G$49,MATCH($D519,products!$A$1:$A$49,0),MATCH(K$1,products!$A$1:$G$1,0))</f>
        <v>0.2</v>
      </c>
      <c r="L519" s="5">
        <f>INDEX(products!$A$1:$G$49,MATCH($D519,products!$A$1:$A$49,0),MATCH(L$1,products!$A$1:$G$1,0))</f>
        <v>3.8849999999999998</v>
      </c>
      <c r="M519" s="5">
        <f t="shared" si="25"/>
        <v>7.77</v>
      </c>
      <c r="N519" t="str">
        <f t="shared" ref="N519:N582" si="27">IF(I519="Rob","Robusta",IF(I519="Ara","Arabica",IF(I519="Exc","Excelsa",IF(I519="Lib","Liberica",""))))</f>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INDEX(products!$A$1:$G$49,MATCH($D520,products!$A$1:$A$49,0),MATCH(I$1,products!$A$1:$G$1,0))</f>
        <v>Exc</v>
      </c>
      <c r="J520" t="str">
        <f>INDEX(products!$A$1:$G$49,MATCH($D520,products!$A$1:$A$49,0),MATCH(J$1,products!$A$1:$G$1,0))</f>
        <v>D</v>
      </c>
      <c r="K520" s="4">
        <f>INDEX(products!$A$1:$G$49,MATCH($D520,products!$A$1:$A$49,0),MATCH(K$1,products!$A$1:$G$1,0))</f>
        <v>2.5</v>
      </c>
      <c r="L520" s="5">
        <f>INDEX(products!$A$1:$G$49,MATCH($D520,products!$A$1:$A$49,0),MATCH(L$1,products!$A$1:$G$1,0))</f>
        <v>27.945</v>
      </c>
      <c r="M520" s="5">
        <f t="shared" si="25"/>
        <v>139.72499999999999</v>
      </c>
      <c r="N520" t="str">
        <f t="shared" si="27"/>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f>
        <v>Marja Urion</v>
      </c>
      <c r="G521" s="2" t="str">
        <f>IF(_xlfn.XLOOKUP(C521,customers!$A$1:$A$1001,customers!$C$1:$C$1001,,0)=0,"",_xlfn.XLOOKUP(C521,customers!$A$1:$A$1001,customers!$C$1:$C$1001,,0))</f>
        <v>murione5@alexa.com</v>
      </c>
      <c r="H521" s="2" t="str">
        <f>_xlfn.XLOOKUP(C521,customers!$A$1:$A$1001,customers!$G$1:$G$1001,,0)</f>
        <v>Ireland</v>
      </c>
      <c r="I521" t="str">
        <f>INDEX(products!$A$1:$G$49,MATCH($D521,products!$A$1:$A$49,0),MATCH(I$1,products!$A$1:$G$1,0))</f>
        <v>Ara</v>
      </c>
      <c r="J521" t="str">
        <f>INDEX(products!$A$1:$G$49,MATCH($D521,products!$A$1:$A$49,0),MATCH(J$1,products!$A$1:$G$1,0))</f>
        <v>D</v>
      </c>
      <c r="K521" s="4">
        <f>INDEX(products!$A$1:$G$49,MATCH($D521,products!$A$1:$A$49,0),MATCH(K$1,products!$A$1:$G$1,0))</f>
        <v>0.5</v>
      </c>
      <c r="L521" s="5">
        <f>INDEX(products!$A$1:$G$49,MATCH($D521,products!$A$1:$A$49,0),MATCH(L$1,products!$A$1:$G$1,0))</f>
        <v>5.97</v>
      </c>
      <c r="M521" s="5">
        <f t="shared" si="25"/>
        <v>11.94</v>
      </c>
      <c r="N521" t="str">
        <f t="shared" si="27"/>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INDEX(products!$A$1:$G$49,MATCH($D522,products!$A$1:$A$49,0),MATCH(I$1,products!$A$1:$G$1,0))</f>
        <v>Lib</v>
      </c>
      <c r="J522" t="str">
        <f>INDEX(products!$A$1:$G$49,MATCH($D522,products!$A$1:$A$49,0),MATCH(J$1,products!$A$1:$G$1,0))</f>
        <v>D</v>
      </c>
      <c r="K522" s="4">
        <f>INDEX(products!$A$1:$G$49,MATCH($D522,products!$A$1:$A$49,0),MATCH(K$1,products!$A$1:$G$1,0))</f>
        <v>0.2</v>
      </c>
      <c r="L522" s="5">
        <f>INDEX(products!$A$1:$G$49,MATCH($D522,products!$A$1:$A$49,0),MATCH(L$1,products!$A$1:$G$1,0))</f>
        <v>3.8849999999999998</v>
      </c>
      <c r="M522" s="5">
        <f t="shared" si="25"/>
        <v>3.8849999999999998</v>
      </c>
      <c r="N522" t="str">
        <f t="shared" si="27"/>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INDEX(products!$A$1:$G$49,MATCH($D523,products!$A$1:$A$49,0),MATCH(I$1,products!$A$1:$G$1,0))</f>
        <v>Rob</v>
      </c>
      <c r="J523" t="str">
        <f>INDEX(products!$A$1:$G$49,MATCH($D523,products!$A$1:$A$49,0),MATCH(J$1,products!$A$1:$G$1,0))</f>
        <v>M</v>
      </c>
      <c r="K523" s="4">
        <f>INDEX(products!$A$1:$G$49,MATCH($D523,products!$A$1:$A$49,0),MATCH(K$1,products!$A$1:$G$1,0))</f>
        <v>1</v>
      </c>
      <c r="L523" s="5">
        <f>INDEX(products!$A$1:$G$49,MATCH($D523,products!$A$1:$A$49,0),MATCH(L$1,products!$A$1:$G$1,0))</f>
        <v>9.9499999999999993</v>
      </c>
      <c r="M523" s="5">
        <f t="shared" si="25"/>
        <v>39.799999999999997</v>
      </c>
      <c r="N523" t="str">
        <f t="shared" si="27"/>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INDEX(products!$A$1:$G$49,MATCH($D524,products!$A$1:$A$49,0),MATCH(I$1,products!$A$1:$G$1,0))</f>
        <v>Rob</v>
      </c>
      <c r="J524" t="str">
        <f>INDEX(products!$A$1:$G$49,MATCH($D524,products!$A$1:$A$49,0),MATCH(J$1,products!$A$1:$G$1,0))</f>
        <v>M</v>
      </c>
      <c r="K524" s="4">
        <f>INDEX(products!$A$1:$G$49,MATCH($D524,products!$A$1:$A$49,0),MATCH(K$1,products!$A$1:$G$1,0))</f>
        <v>0.5</v>
      </c>
      <c r="L524" s="5">
        <f>INDEX(products!$A$1:$G$49,MATCH($D524,products!$A$1:$A$49,0),MATCH(L$1,products!$A$1:$G$1,0))</f>
        <v>5.97</v>
      </c>
      <c r="M524" s="5">
        <f t="shared" si="25"/>
        <v>29.849999999999998</v>
      </c>
      <c r="N524" t="str">
        <f t="shared" si="27"/>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f>
        <v>Berty Beelby</v>
      </c>
      <c r="G525" s="2" t="str">
        <f>IF(_xlfn.XLOOKUP(C525,customers!$A$1:$A$1001,customers!$C$1:$C$1001,,0)=0,"",_xlfn.XLOOKUP(C525,customers!$A$1:$A$1001,customers!$C$1:$C$1001,,0))</f>
        <v>bbeelbyej@rediff.com</v>
      </c>
      <c r="H525" s="2" t="str">
        <f>_xlfn.XLOOKUP(C525,customers!$A$1:$A$1001,customers!$G$1:$G$1001,,0)</f>
        <v>Ireland</v>
      </c>
      <c r="I525" t="str">
        <f>INDEX(products!$A$1:$G$49,MATCH($D525,products!$A$1:$A$49,0),MATCH(I$1,products!$A$1:$G$1,0))</f>
        <v>Lib</v>
      </c>
      <c r="J525" t="str">
        <f>INDEX(products!$A$1:$G$49,MATCH($D525,products!$A$1:$A$49,0),MATCH(J$1,products!$A$1:$G$1,0))</f>
        <v>D</v>
      </c>
      <c r="K525" s="4">
        <f>INDEX(products!$A$1:$G$49,MATCH($D525,products!$A$1:$A$49,0),MATCH(K$1,products!$A$1:$G$1,0))</f>
        <v>2.5</v>
      </c>
      <c r="L525" s="5">
        <f>INDEX(products!$A$1:$G$49,MATCH($D525,products!$A$1:$A$49,0),MATCH(L$1,products!$A$1:$G$1,0))</f>
        <v>29.784999999999997</v>
      </c>
      <c r="M525" s="5">
        <f t="shared" si="25"/>
        <v>29.784999999999997</v>
      </c>
      <c r="N525" t="str">
        <f t="shared" si="27"/>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f>
        <v>Erny Stenyng</v>
      </c>
      <c r="G526" s="2" t="str">
        <f>IF(_xlfn.XLOOKUP(C526,customers!$A$1:$A$1001,customers!$C$1:$C$1001,,0)=0,"",_xlfn.XLOOKUP(C526,customers!$A$1:$A$1001,customers!$C$1:$C$1001,,0))</f>
        <v/>
      </c>
      <c r="H526" s="2" t="str">
        <f>_xlfn.XLOOKUP(C526,customers!$A$1:$A$1001,customers!$G$1:$G$1001,,0)</f>
        <v>United States</v>
      </c>
      <c r="I526" t="str">
        <f>INDEX(products!$A$1:$G$49,MATCH($D526,products!$A$1:$A$49,0),MATCH(I$1,products!$A$1:$G$1,0))</f>
        <v>Lib</v>
      </c>
      <c r="J526" t="str">
        <f>INDEX(products!$A$1:$G$49,MATCH($D526,products!$A$1:$A$49,0),MATCH(J$1,products!$A$1:$G$1,0))</f>
        <v>L</v>
      </c>
      <c r="K526" s="4">
        <f>INDEX(products!$A$1:$G$49,MATCH($D526,products!$A$1:$A$49,0),MATCH(K$1,products!$A$1:$G$1,0))</f>
        <v>2.5</v>
      </c>
      <c r="L526" s="5">
        <f>INDEX(products!$A$1:$G$49,MATCH($D526,products!$A$1:$A$49,0),MATCH(L$1,products!$A$1:$G$1,0))</f>
        <v>36.454999999999998</v>
      </c>
      <c r="M526" s="5">
        <f t="shared" si="25"/>
        <v>72.91</v>
      </c>
      <c r="N526" t="str">
        <f t="shared" si="27"/>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f>
        <v>Edin Yantsurev</v>
      </c>
      <c r="G527" s="2" t="str">
        <f>IF(_xlfn.XLOOKUP(C527,customers!$A$1:$A$1001,customers!$C$1:$C$1001,,0)=0,"",_xlfn.XLOOKUP(C527,customers!$A$1:$A$1001,customers!$C$1:$C$1001,,0))</f>
        <v/>
      </c>
      <c r="H527" s="2" t="str">
        <f>_xlfn.XLOOKUP(C527,customers!$A$1:$A$1001,customers!$G$1:$G$1001,,0)</f>
        <v>United States</v>
      </c>
      <c r="I527" t="str">
        <f>INDEX(products!$A$1:$G$49,MATCH($D527,products!$A$1:$A$49,0),MATCH(I$1,products!$A$1:$G$1,0))</f>
        <v>Rob</v>
      </c>
      <c r="J527" t="str">
        <f>INDEX(products!$A$1:$G$49,MATCH($D527,products!$A$1:$A$49,0),MATCH(J$1,products!$A$1:$G$1,0))</f>
        <v>D</v>
      </c>
      <c r="K527" s="4">
        <f>INDEX(products!$A$1:$G$49,MATCH($D527,products!$A$1:$A$49,0),MATCH(K$1,products!$A$1:$G$1,0))</f>
        <v>0.2</v>
      </c>
      <c r="L527" s="5">
        <f>INDEX(products!$A$1:$G$49,MATCH($D527,products!$A$1:$A$49,0),MATCH(L$1,products!$A$1:$G$1,0))</f>
        <v>2.6849999999999996</v>
      </c>
      <c r="M527" s="5">
        <f t="shared" si="25"/>
        <v>13.424999999999997</v>
      </c>
      <c r="N527" t="str">
        <f t="shared" si="27"/>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INDEX(products!$A$1:$G$49,MATCH($D528,products!$A$1:$A$49,0),MATCH(I$1,products!$A$1:$G$1,0))</f>
        <v>Exc</v>
      </c>
      <c r="J528" t="str">
        <f>INDEX(products!$A$1:$G$49,MATCH($D528,products!$A$1:$A$49,0),MATCH(J$1,products!$A$1:$G$1,0))</f>
        <v>M</v>
      </c>
      <c r="K528" s="4">
        <f>INDEX(products!$A$1:$G$49,MATCH($D528,products!$A$1:$A$49,0),MATCH(K$1,products!$A$1:$G$1,0))</f>
        <v>2.5</v>
      </c>
      <c r="L528" s="5">
        <f>INDEX(products!$A$1:$G$49,MATCH($D528,products!$A$1:$A$49,0),MATCH(L$1,products!$A$1:$G$1,0))</f>
        <v>31.624999999999996</v>
      </c>
      <c r="M528" s="5">
        <f t="shared" si="25"/>
        <v>126.49999999999999</v>
      </c>
      <c r="N528" t="str">
        <f t="shared" si="27"/>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INDEX(products!$A$1:$G$49,MATCH($D529,products!$A$1:$A$49,0),MATCH(I$1,products!$A$1:$G$1,0))</f>
        <v>Exc</v>
      </c>
      <c r="J529" t="str">
        <f>INDEX(products!$A$1:$G$49,MATCH($D529,products!$A$1:$A$49,0),MATCH(J$1,products!$A$1:$G$1,0))</f>
        <v>M</v>
      </c>
      <c r="K529" s="4">
        <f>INDEX(products!$A$1:$G$49,MATCH($D529,products!$A$1:$A$49,0),MATCH(K$1,products!$A$1:$G$1,0))</f>
        <v>0.5</v>
      </c>
      <c r="L529" s="5">
        <f>INDEX(products!$A$1:$G$49,MATCH($D529,products!$A$1:$A$49,0),MATCH(L$1,products!$A$1:$G$1,0))</f>
        <v>8.25</v>
      </c>
      <c r="M529" s="5">
        <f t="shared" si="25"/>
        <v>41.25</v>
      </c>
      <c r="N529" t="str">
        <f t="shared" si="27"/>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INDEX(products!$A$1:$G$49,MATCH($D530,products!$A$1:$A$49,0),MATCH(I$1,products!$A$1:$G$1,0))</f>
        <v>Exc</v>
      </c>
      <c r="J530" t="str">
        <f>INDEX(products!$A$1:$G$49,MATCH($D530,products!$A$1:$A$49,0),MATCH(J$1,products!$A$1:$G$1,0))</f>
        <v>L</v>
      </c>
      <c r="K530" s="4">
        <f>INDEX(products!$A$1:$G$49,MATCH($D530,products!$A$1:$A$49,0),MATCH(K$1,products!$A$1:$G$1,0))</f>
        <v>0.5</v>
      </c>
      <c r="L530" s="5">
        <f>INDEX(products!$A$1:$G$49,MATCH($D530,products!$A$1:$A$49,0),MATCH(L$1,products!$A$1:$G$1,0))</f>
        <v>8.91</v>
      </c>
      <c r="M530" s="5">
        <f t="shared" si="25"/>
        <v>53.46</v>
      </c>
      <c r="N530" t="str">
        <f t="shared" si="27"/>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INDEX(products!$A$1:$G$49,MATCH($D531,products!$A$1:$A$49,0),MATCH(I$1,products!$A$1:$G$1,0))</f>
        <v>Rob</v>
      </c>
      <c r="J531" t="str">
        <f>INDEX(products!$A$1:$G$49,MATCH($D531,products!$A$1:$A$49,0),MATCH(J$1,products!$A$1:$G$1,0))</f>
        <v>M</v>
      </c>
      <c r="K531" s="4">
        <f>INDEX(products!$A$1:$G$49,MATCH($D531,products!$A$1:$A$49,0),MATCH(K$1,products!$A$1:$G$1,0))</f>
        <v>1</v>
      </c>
      <c r="L531" s="5">
        <f>INDEX(products!$A$1:$G$49,MATCH($D531,products!$A$1:$A$49,0),MATCH(L$1,products!$A$1:$G$1,0))</f>
        <v>9.9499999999999993</v>
      </c>
      <c r="M531" s="5">
        <f t="shared" si="25"/>
        <v>59.699999999999996</v>
      </c>
      <c r="N531" t="str">
        <f t="shared" si="27"/>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INDEX(products!$A$1:$G$49,MATCH($D532,products!$A$1:$A$49,0),MATCH(I$1,products!$A$1:$G$1,0))</f>
        <v>Rob</v>
      </c>
      <c r="J532" t="str">
        <f>INDEX(products!$A$1:$G$49,MATCH($D532,products!$A$1:$A$49,0),MATCH(J$1,products!$A$1:$G$1,0))</f>
        <v>M</v>
      </c>
      <c r="K532" s="4">
        <f>INDEX(products!$A$1:$G$49,MATCH($D532,products!$A$1:$A$49,0),MATCH(K$1,products!$A$1:$G$1,0))</f>
        <v>1</v>
      </c>
      <c r="L532" s="5">
        <f>INDEX(products!$A$1:$G$49,MATCH($D532,products!$A$1:$A$49,0),MATCH(L$1,products!$A$1:$G$1,0))</f>
        <v>9.9499999999999993</v>
      </c>
      <c r="M532" s="5">
        <f t="shared" si="25"/>
        <v>59.699999999999996</v>
      </c>
      <c r="N532" t="str">
        <f t="shared" si="27"/>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INDEX(products!$A$1:$G$49,MATCH($D533,products!$A$1:$A$49,0),MATCH(I$1,products!$A$1:$G$1,0))</f>
        <v>Rob</v>
      </c>
      <c r="J533" t="str">
        <f>INDEX(products!$A$1:$G$49,MATCH($D533,products!$A$1:$A$49,0),MATCH(J$1,products!$A$1:$G$1,0))</f>
        <v>D</v>
      </c>
      <c r="K533" s="4">
        <f>INDEX(products!$A$1:$G$49,MATCH($D533,products!$A$1:$A$49,0),MATCH(K$1,products!$A$1:$G$1,0))</f>
        <v>1</v>
      </c>
      <c r="L533" s="5">
        <f>INDEX(products!$A$1:$G$49,MATCH($D533,products!$A$1:$A$49,0),MATCH(L$1,products!$A$1:$G$1,0))</f>
        <v>8.9499999999999993</v>
      </c>
      <c r="M533" s="5">
        <f t="shared" si="25"/>
        <v>44.75</v>
      </c>
      <c r="N533" t="str">
        <f t="shared" si="27"/>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INDEX(products!$A$1:$G$49,MATCH($D534,products!$A$1:$A$49,0),MATCH(I$1,products!$A$1:$G$1,0))</f>
        <v>Exc</v>
      </c>
      <c r="J534" t="str">
        <f>INDEX(products!$A$1:$G$49,MATCH($D534,products!$A$1:$A$49,0),MATCH(J$1,products!$A$1:$G$1,0))</f>
        <v>M</v>
      </c>
      <c r="K534" s="4">
        <f>INDEX(products!$A$1:$G$49,MATCH($D534,products!$A$1:$A$49,0),MATCH(K$1,products!$A$1:$G$1,0))</f>
        <v>0.5</v>
      </c>
      <c r="L534" s="5">
        <f>INDEX(products!$A$1:$G$49,MATCH($D534,products!$A$1:$A$49,0),MATCH(L$1,products!$A$1:$G$1,0))</f>
        <v>8.25</v>
      </c>
      <c r="M534" s="5">
        <f t="shared" si="25"/>
        <v>16.5</v>
      </c>
      <c r="N534" t="str">
        <f t="shared" si="27"/>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f>
        <v>Rea Offell</v>
      </c>
      <c r="G535" s="2" t="str">
        <f>IF(_xlfn.XLOOKUP(C535,customers!$A$1:$A$1001,customers!$C$1:$C$1001,,0)=0,"",_xlfn.XLOOKUP(C535,customers!$A$1:$A$1001,customers!$C$1:$C$1001,,0))</f>
        <v/>
      </c>
      <c r="H535" s="2" t="str">
        <f>_xlfn.XLOOKUP(C535,customers!$A$1:$A$1001,customers!$G$1:$G$1001,,0)</f>
        <v>United States</v>
      </c>
      <c r="I535" t="str">
        <f>INDEX(products!$A$1:$G$49,MATCH($D535,products!$A$1:$A$49,0),MATCH(I$1,products!$A$1:$G$1,0))</f>
        <v>Rob</v>
      </c>
      <c r="J535" t="str">
        <f>INDEX(products!$A$1:$G$49,MATCH($D535,products!$A$1:$A$49,0),MATCH(J$1,products!$A$1:$G$1,0))</f>
        <v>D</v>
      </c>
      <c r="K535" s="4">
        <f>INDEX(products!$A$1:$G$49,MATCH($D535,products!$A$1:$A$49,0),MATCH(K$1,products!$A$1:$G$1,0))</f>
        <v>0.5</v>
      </c>
      <c r="L535" s="5">
        <f>INDEX(products!$A$1:$G$49,MATCH($D535,products!$A$1:$A$49,0),MATCH(L$1,products!$A$1:$G$1,0))</f>
        <v>5.3699999999999992</v>
      </c>
      <c r="M535" s="5">
        <f t="shared" si="25"/>
        <v>21.479999999999997</v>
      </c>
      <c r="N535" t="str">
        <f t="shared" si="27"/>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f>
        <v>Kris O'Cullen</v>
      </c>
      <c r="G536" s="2" t="str">
        <f>IF(_xlfn.XLOOKUP(C536,customers!$A$1:$A$1001,customers!$C$1:$C$1001,,0)=0,"",_xlfn.XLOOKUP(C536,customers!$A$1:$A$1001,customers!$C$1:$C$1001,,0))</f>
        <v>koculleneu@ca.gov</v>
      </c>
      <c r="H536" s="2" t="str">
        <f>_xlfn.XLOOKUP(C536,customers!$A$1:$A$1001,customers!$G$1:$G$1001,,0)</f>
        <v>Ireland</v>
      </c>
      <c r="I536" t="str">
        <f>INDEX(products!$A$1:$G$49,MATCH($D536,products!$A$1:$A$49,0),MATCH(I$1,products!$A$1:$G$1,0))</f>
        <v>Rob</v>
      </c>
      <c r="J536" t="str">
        <f>INDEX(products!$A$1:$G$49,MATCH($D536,products!$A$1:$A$49,0),MATCH(J$1,products!$A$1:$G$1,0))</f>
        <v>M</v>
      </c>
      <c r="K536" s="4">
        <f>INDEX(products!$A$1:$G$49,MATCH($D536,products!$A$1:$A$49,0),MATCH(K$1,products!$A$1:$G$1,0))</f>
        <v>2.5</v>
      </c>
      <c r="L536" s="5">
        <f>INDEX(products!$A$1:$G$49,MATCH($D536,products!$A$1:$A$49,0),MATCH(L$1,products!$A$1:$G$1,0))</f>
        <v>22.884999999999998</v>
      </c>
      <c r="M536" s="5">
        <f t="shared" si="25"/>
        <v>45.769999999999996</v>
      </c>
      <c r="N536" t="str">
        <f t="shared" si="27"/>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f>
        <v>Timoteo Glisane</v>
      </c>
      <c r="G537" s="2" t="str">
        <f>IF(_xlfn.XLOOKUP(C537,customers!$A$1:$A$1001,customers!$C$1:$C$1001,,0)=0,"",_xlfn.XLOOKUP(C537,customers!$A$1:$A$1001,customers!$C$1:$C$1001,,0))</f>
        <v/>
      </c>
      <c r="H537" s="2" t="str">
        <f>_xlfn.XLOOKUP(C537,customers!$A$1:$A$1001,customers!$G$1:$G$1001,,0)</f>
        <v>Ireland</v>
      </c>
      <c r="I537" t="str">
        <f>INDEX(products!$A$1:$G$49,MATCH($D537,products!$A$1:$A$49,0),MATCH(I$1,products!$A$1:$G$1,0))</f>
        <v>Lib</v>
      </c>
      <c r="J537" t="str">
        <f>INDEX(products!$A$1:$G$49,MATCH($D537,products!$A$1:$A$49,0),MATCH(J$1,products!$A$1:$G$1,0))</f>
        <v>L</v>
      </c>
      <c r="K537" s="4">
        <f>INDEX(products!$A$1:$G$49,MATCH($D537,products!$A$1:$A$49,0),MATCH(K$1,products!$A$1:$G$1,0))</f>
        <v>0.2</v>
      </c>
      <c r="L537" s="5">
        <f>INDEX(products!$A$1:$G$49,MATCH($D537,products!$A$1:$A$49,0),MATCH(L$1,products!$A$1:$G$1,0))</f>
        <v>4.7549999999999999</v>
      </c>
      <c r="M537" s="5">
        <f t="shared" si="25"/>
        <v>9.51</v>
      </c>
      <c r="N537" t="str">
        <f t="shared" si="27"/>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f>
        <v>Marja Urion</v>
      </c>
      <c r="G538" s="2" t="str">
        <f>IF(_xlfn.XLOOKUP(C538,customers!$A$1:$A$1001,customers!$C$1:$C$1001,,0)=0,"",_xlfn.XLOOKUP(C538,customers!$A$1:$A$1001,customers!$C$1:$C$1001,,0))</f>
        <v>murione5@alexa.com</v>
      </c>
      <c r="H538" s="2" t="str">
        <f>_xlfn.XLOOKUP(C538,customers!$A$1:$A$1001,customers!$G$1:$G$1001,,0)</f>
        <v>Ireland</v>
      </c>
      <c r="I538" t="str">
        <f>INDEX(products!$A$1:$G$49,MATCH($D538,products!$A$1:$A$49,0),MATCH(I$1,products!$A$1:$G$1,0))</f>
        <v>Rob</v>
      </c>
      <c r="J538" t="str">
        <f>INDEX(products!$A$1:$G$49,MATCH($D538,products!$A$1:$A$49,0),MATCH(J$1,products!$A$1:$G$1,0))</f>
        <v>D</v>
      </c>
      <c r="K538" s="4">
        <f>INDEX(products!$A$1:$G$49,MATCH($D538,products!$A$1:$A$49,0),MATCH(K$1,products!$A$1:$G$1,0))</f>
        <v>0.2</v>
      </c>
      <c r="L538" s="5">
        <f>INDEX(products!$A$1:$G$49,MATCH($D538,products!$A$1:$A$49,0),MATCH(L$1,products!$A$1:$G$1,0))</f>
        <v>2.6849999999999996</v>
      </c>
      <c r="M538" s="5">
        <f t="shared" si="25"/>
        <v>8.0549999999999997</v>
      </c>
      <c r="N538" t="str">
        <f t="shared" si="27"/>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INDEX(products!$A$1:$G$49,MATCH($D539,products!$A$1:$A$49,0),MATCH(I$1,products!$A$1:$G$1,0))</f>
        <v>Exc</v>
      </c>
      <c r="J539" t="str">
        <f>INDEX(products!$A$1:$G$49,MATCH($D539,products!$A$1:$A$49,0),MATCH(J$1,products!$A$1:$G$1,0))</f>
        <v>D</v>
      </c>
      <c r="K539" s="4">
        <f>INDEX(products!$A$1:$G$49,MATCH($D539,products!$A$1:$A$49,0),MATCH(K$1,products!$A$1:$G$1,0))</f>
        <v>2.5</v>
      </c>
      <c r="L539" s="5">
        <f>INDEX(products!$A$1:$G$49,MATCH($D539,products!$A$1:$A$49,0),MATCH(L$1,products!$A$1:$G$1,0))</f>
        <v>27.945</v>
      </c>
      <c r="M539" s="5">
        <f t="shared" si="25"/>
        <v>111.78</v>
      </c>
      <c r="N539" t="str">
        <f t="shared" si="27"/>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INDEX(products!$A$1:$G$49,MATCH($D540,products!$A$1:$A$49,0),MATCH(I$1,products!$A$1:$G$1,0))</f>
        <v>Rob</v>
      </c>
      <c r="J540" t="str">
        <f>INDEX(products!$A$1:$G$49,MATCH($D540,products!$A$1:$A$49,0),MATCH(J$1,products!$A$1:$G$1,0))</f>
        <v>D</v>
      </c>
      <c r="K540" s="4">
        <f>INDEX(products!$A$1:$G$49,MATCH($D540,products!$A$1:$A$49,0),MATCH(K$1,products!$A$1:$G$1,0))</f>
        <v>0.2</v>
      </c>
      <c r="L540" s="5">
        <f>INDEX(products!$A$1:$G$49,MATCH($D540,products!$A$1:$A$49,0),MATCH(L$1,products!$A$1:$G$1,0))</f>
        <v>2.6849999999999996</v>
      </c>
      <c r="M540" s="5">
        <f t="shared" si="25"/>
        <v>10.739999999999998</v>
      </c>
      <c r="N540" t="str">
        <f t="shared" si="27"/>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INDEX(products!$A$1:$G$49,MATCH($D541,products!$A$1:$A$49,0),MATCH(I$1,products!$A$1:$G$1,0))</f>
        <v>Rob</v>
      </c>
      <c r="J541" t="str">
        <f>INDEX(products!$A$1:$G$49,MATCH($D541,products!$A$1:$A$49,0),MATCH(J$1,products!$A$1:$G$1,0))</f>
        <v>D</v>
      </c>
      <c r="K541" s="4">
        <f>INDEX(products!$A$1:$G$49,MATCH($D541,products!$A$1:$A$49,0),MATCH(K$1,products!$A$1:$G$1,0))</f>
        <v>0.5</v>
      </c>
      <c r="L541" s="5">
        <f>INDEX(products!$A$1:$G$49,MATCH($D541,products!$A$1:$A$49,0),MATCH(L$1,products!$A$1:$G$1,0))</f>
        <v>5.3699999999999992</v>
      </c>
      <c r="M541" s="5">
        <f t="shared" si="25"/>
        <v>26.849999999999994</v>
      </c>
      <c r="N541" t="str">
        <f t="shared" si="27"/>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INDEX(products!$A$1:$G$49,MATCH($D542,products!$A$1:$A$49,0),MATCH(I$1,products!$A$1:$G$1,0))</f>
        <v>Lib</v>
      </c>
      <c r="J542" t="str">
        <f>INDEX(products!$A$1:$G$49,MATCH($D542,products!$A$1:$A$49,0),MATCH(J$1,products!$A$1:$G$1,0))</f>
        <v>L</v>
      </c>
      <c r="K542" s="4">
        <f>INDEX(products!$A$1:$G$49,MATCH($D542,products!$A$1:$A$49,0),MATCH(K$1,products!$A$1:$G$1,0))</f>
        <v>1</v>
      </c>
      <c r="L542" s="5">
        <f>INDEX(products!$A$1:$G$49,MATCH($D542,products!$A$1:$A$49,0),MATCH(L$1,products!$A$1:$G$1,0))</f>
        <v>15.85</v>
      </c>
      <c r="M542" s="5">
        <f t="shared" si="25"/>
        <v>63.4</v>
      </c>
      <c r="N542" t="str">
        <f t="shared" si="27"/>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f>
        <v>Lora Dukes</v>
      </c>
      <c r="G543" s="2" t="str">
        <f>IF(_xlfn.XLOOKUP(C543,customers!$A$1:$A$1001,customers!$C$1:$C$1001,,0)=0,"",_xlfn.XLOOKUP(C543,customers!$A$1:$A$1001,customers!$C$1:$C$1001,,0))</f>
        <v/>
      </c>
      <c r="H543" s="2" t="str">
        <f>_xlfn.XLOOKUP(C543,customers!$A$1:$A$1001,customers!$G$1:$G$1001,,0)</f>
        <v>Ireland</v>
      </c>
      <c r="I543" t="str">
        <f>INDEX(products!$A$1:$G$49,MATCH($D543,products!$A$1:$A$49,0),MATCH(I$1,products!$A$1:$G$1,0))</f>
        <v>Ara</v>
      </c>
      <c r="J543" t="str">
        <f>INDEX(products!$A$1:$G$49,MATCH($D543,products!$A$1:$A$49,0),MATCH(J$1,products!$A$1:$G$1,0))</f>
        <v>D</v>
      </c>
      <c r="K543" s="4">
        <f>INDEX(products!$A$1:$G$49,MATCH($D543,products!$A$1:$A$49,0),MATCH(K$1,products!$A$1:$G$1,0))</f>
        <v>2.5</v>
      </c>
      <c r="L543" s="5">
        <f>INDEX(products!$A$1:$G$49,MATCH($D543,products!$A$1:$A$49,0),MATCH(L$1,products!$A$1:$G$1,0))</f>
        <v>22.884999999999998</v>
      </c>
      <c r="M543" s="5">
        <f t="shared" si="25"/>
        <v>22.884999999999998</v>
      </c>
      <c r="N543" t="str">
        <f t="shared" si="27"/>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INDEX(products!$A$1:$G$49,MATCH($D544,products!$A$1:$A$49,0),MATCH(I$1,products!$A$1:$G$1,0))</f>
        <v>Ara</v>
      </c>
      <c r="J544" t="str">
        <f>INDEX(products!$A$1:$G$49,MATCH($D544,products!$A$1:$A$49,0),MATCH(J$1,products!$A$1:$G$1,0))</f>
        <v>M</v>
      </c>
      <c r="K544" s="4">
        <f>INDEX(products!$A$1:$G$49,MATCH($D544,products!$A$1:$A$49,0),MATCH(K$1,products!$A$1:$G$1,0))</f>
        <v>2.5</v>
      </c>
      <c r="L544" s="5">
        <f>INDEX(products!$A$1:$G$49,MATCH($D544,products!$A$1:$A$49,0),MATCH(L$1,products!$A$1:$G$1,0))</f>
        <v>25.874999999999996</v>
      </c>
      <c r="M544" s="5">
        <f t="shared" si="25"/>
        <v>103.49999999999999</v>
      </c>
      <c r="N544" t="str">
        <f t="shared" si="27"/>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INDEX(products!$A$1:$G$49,MATCH($D545,products!$A$1:$A$49,0),MATCH(I$1,products!$A$1:$G$1,0))</f>
        <v>Rob</v>
      </c>
      <c r="J545" t="str">
        <f>INDEX(products!$A$1:$G$49,MATCH($D545,products!$A$1:$A$49,0),MATCH(J$1,products!$A$1:$G$1,0))</f>
        <v>L</v>
      </c>
      <c r="K545" s="4">
        <f>INDEX(products!$A$1:$G$49,MATCH($D545,products!$A$1:$A$49,0),MATCH(K$1,products!$A$1:$G$1,0))</f>
        <v>2.5</v>
      </c>
      <c r="L545" s="5">
        <f>INDEX(products!$A$1:$G$49,MATCH($D545,products!$A$1:$A$49,0),MATCH(L$1,products!$A$1:$G$1,0))</f>
        <v>27.484999999999996</v>
      </c>
      <c r="M545" s="5">
        <f t="shared" si="25"/>
        <v>54.969999999999992</v>
      </c>
      <c r="N545" t="str">
        <f t="shared" si="27"/>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INDEX(products!$A$1:$G$49,MATCH($D546,products!$A$1:$A$49,0),MATCH(I$1,products!$A$1:$G$1,0))</f>
        <v>Ara</v>
      </c>
      <c r="J546" t="str">
        <f>INDEX(products!$A$1:$G$49,MATCH($D546,products!$A$1:$A$49,0),MATCH(J$1,products!$A$1:$G$1,0))</f>
        <v>L</v>
      </c>
      <c r="K546" s="4">
        <f>INDEX(products!$A$1:$G$49,MATCH($D546,products!$A$1:$A$49,0),MATCH(K$1,products!$A$1:$G$1,0))</f>
        <v>0.5</v>
      </c>
      <c r="L546" s="5">
        <f>INDEX(products!$A$1:$G$49,MATCH($D546,products!$A$1:$A$49,0),MATCH(L$1,products!$A$1:$G$1,0))</f>
        <v>7.77</v>
      </c>
      <c r="M546" s="5">
        <f t="shared" si="25"/>
        <v>15.54</v>
      </c>
      <c r="N546" t="str">
        <f t="shared" si="27"/>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INDEX(products!$A$1:$G$49,MATCH($D547,products!$A$1:$A$49,0),MATCH(I$1,products!$A$1:$G$1,0))</f>
        <v>Lib</v>
      </c>
      <c r="J547" t="str">
        <f>INDEX(products!$A$1:$G$49,MATCH($D547,products!$A$1:$A$49,0),MATCH(J$1,products!$A$1:$G$1,0))</f>
        <v>D</v>
      </c>
      <c r="K547" s="4">
        <f>INDEX(products!$A$1:$G$49,MATCH($D547,products!$A$1:$A$49,0),MATCH(K$1,products!$A$1:$G$1,0))</f>
        <v>0.2</v>
      </c>
      <c r="L547" s="5">
        <f>INDEX(products!$A$1:$G$49,MATCH($D547,products!$A$1:$A$49,0),MATCH(L$1,products!$A$1:$G$1,0))</f>
        <v>3.8849999999999998</v>
      </c>
      <c r="M547" s="5">
        <f t="shared" si="25"/>
        <v>15.54</v>
      </c>
      <c r="N547" t="str">
        <f t="shared" si="27"/>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f>
        <v>Dom Milella</v>
      </c>
      <c r="G548" s="2" t="str">
        <f>IF(_xlfn.XLOOKUP(C548,customers!$A$1:$A$1001,customers!$C$1:$C$1001,,0)=0,"",_xlfn.XLOOKUP(C548,customers!$A$1:$A$1001,customers!$C$1:$C$1001,,0))</f>
        <v/>
      </c>
      <c r="H548" s="2" t="str">
        <f>_xlfn.XLOOKUP(C548,customers!$A$1:$A$1001,customers!$G$1:$G$1001,,0)</f>
        <v>Ireland</v>
      </c>
      <c r="I548" t="str">
        <f>INDEX(products!$A$1:$G$49,MATCH($D548,products!$A$1:$A$49,0),MATCH(I$1,products!$A$1:$G$1,0))</f>
        <v>Exc</v>
      </c>
      <c r="J548" t="str">
        <f>INDEX(products!$A$1:$G$49,MATCH($D548,products!$A$1:$A$49,0),MATCH(J$1,products!$A$1:$G$1,0))</f>
        <v>D</v>
      </c>
      <c r="K548" s="4">
        <f>INDEX(products!$A$1:$G$49,MATCH($D548,products!$A$1:$A$49,0),MATCH(K$1,products!$A$1:$G$1,0))</f>
        <v>2.5</v>
      </c>
      <c r="L548" s="5">
        <f>INDEX(products!$A$1:$G$49,MATCH($D548,products!$A$1:$A$49,0),MATCH(L$1,products!$A$1:$G$1,0))</f>
        <v>27.945</v>
      </c>
      <c r="M548" s="5">
        <f t="shared" si="25"/>
        <v>83.835000000000008</v>
      </c>
      <c r="N548" t="str">
        <f t="shared" si="27"/>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INDEX(products!$A$1:$G$49,MATCH($D549,products!$A$1:$A$49,0),MATCH(I$1,products!$A$1:$G$1,0))</f>
        <v>Rob</v>
      </c>
      <c r="J549" t="str">
        <f>INDEX(products!$A$1:$G$49,MATCH($D549,products!$A$1:$A$49,0),MATCH(J$1,products!$A$1:$G$1,0))</f>
        <v>L</v>
      </c>
      <c r="K549" s="4">
        <f>INDEX(products!$A$1:$G$49,MATCH($D549,products!$A$1:$A$49,0),MATCH(K$1,products!$A$1:$G$1,0))</f>
        <v>0.2</v>
      </c>
      <c r="L549" s="5">
        <f>INDEX(products!$A$1:$G$49,MATCH($D549,products!$A$1:$A$49,0),MATCH(L$1,products!$A$1:$G$1,0))</f>
        <v>3.5849999999999995</v>
      </c>
      <c r="M549" s="5">
        <f t="shared" si="25"/>
        <v>10.754999999999999</v>
      </c>
      <c r="N549" t="str">
        <f t="shared" si="27"/>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INDEX(products!$A$1:$G$49,MATCH($D550,products!$A$1:$A$49,0),MATCH(I$1,products!$A$1:$G$1,0))</f>
        <v>Exc</v>
      </c>
      <c r="J550" t="str">
        <f>INDEX(products!$A$1:$G$49,MATCH($D550,products!$A$1:$A$49,0),MATCH(J$1,products!$A$1:$G$1,0))</f>
        <v>L</v>
      </c>
      <c r="K550" s="4">
        <f>INDEX(products!$A$1:$G$49,MATCH($D550,products!$A$1:$A$49,0),MATCH(K$1,products!$A$1:$G$1,0))</f>
        <v>0.2</v>
      </c>
      <c r="L550" s="5">
        <f>INDEX(products!$A$1:$G$49,MATCH($D550,products!$A$1:$A$49,0),MATCH(L$1,products!$A$1:$G$1,0))</f>
        <v>4.4550000000000001</v>
      </c>
      <c r="M550" s="5">
        <f t="shared" si="25"/>
        <v>13.365</v>
      </c>
      <c r="N550" t="str">
        <f t="shared" si="27"/>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INDEX(products!$A$1:$G$49,MATCH($D551,products!$A$1:$A$49,0),MATCH(I$1,products!$A$1:$G$1,0))</f>
        <v>Exc</v>
      </c>
      <c r="J551" t="str">
        <f>INDEX(products!$A$1:$G$49,MATCH($D551,products!$A$1:$A$49,0),MATCH(J$1,products!$A$1:$G$1,0))</f>
        <v>L</v>
      </c>
      <c r="K551" s="4">
        <f>INDEX(products!$A$1:$G$49,MATCH($D551,products!$A$1:$A$49,0),MATCH(K$1,products!$A$1:$G$1,0))</f>
        <v>0.2</v>
      </c>
      <c r="L551" s="5">
        <f>INDEX(products!$A$1:$G$49,MATCH($D551,products!$A$1:$A$49,0),MATCH(L$1,products!$A$1:$G$1,0))</f>
        <v>4.4550000000000001</v>
      </c>
      <c r="M551" s="5">
        <f t="shared" si="25"/>
        <v>17.82</v>
      </c>
      <c r="N551" t="str">
        <f t="shared" si="27"/>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INDEX(products!$A$1:$G$49,MATCH($D552,products!$A$1:$A$49,0),MATCH(I$1,products!$A$1:$G$1,0))</f>
        <v>Lib</v>
      </c>
      <c r="J552" t="str">
        <f>INDEX(products!$A$1:$G$49,MATCH($D552,products!$A$1:$A$49,0),MATCH(J$1,products!$A$1:$G$1,0))</f>
        <v>D</v>
      </c>
      <c r="K552" s="4">
        <f>INDEX(products!$A$1:$G$49,MATCH($D552,products!$A$1:$A$49,0),MATCH(K$1,products!$A$1:$G$1,0))</f>
        <v>0.2</v>
      </c>
      <c r="L552" s="5">
        <f>INDEX(products!$A$1:$G$49,MATCH($D552,products!$A$1:$A$49,0),MATCH(L$1,products!$A$1:$G$1,0))</f>
        <v>3.8849999999999998</v>
      </c>
      <c r="M552" s="5">
        <f t="shared" si="25"/>
        <v>23.31</v>
      </c>
      <c r="N552" t="str">
        <f t="shared" si="27"/>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INDEX(products!$A$1:$G$49,MATCH($D553,products!$A$1:$A$49,0),MATCH(I$1,products!$A$1:$G$1,0))</f>
        <v>Exc</v>
      </c>
      <c r="J553" t="str">
        <f>INDEX(products!$A$1:$G$49,MATCH($D553,products!$A$1:$A$49,0),MATCH(J$1,products!$A$1:$G$1,0))</f>
        <v>D</v>
      </c>
      <c r="K553" s="4">
        <f>INDEX(products!$A$1:$G$49,MATCH($D553,products!$A$1:$A$49,0),MATCH(K$1,products!$A$1:$G$1,0))</f>
        <v>0.2</v>
      </c>
      <c r="L553" s="5">
        <f>INDEX(products!$A$1:$G$49,MATCH($D553,products!$A$1:$A$49,0),MATCH(L$1,products!$A$1:$G$1,0))</f>
        <v>3.645</v>
      </c>
      <c r="M553" s="5">
        <f t="shared" si="25"/>
        <v>7.29</v>
      </c>
      <c r="N553" t="str">
        <f t="shared" si="27"/>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INDEX(products!$A$1:$G$49,MATCH($D554,products!$A$1:$A$49,0),MATCH(I$1,products!$A$1:$G$1,0))</f>
        <v>Exc</v>
      </c>
      <c r="J554" t="str">
        <f>INDEX(products!$A$1:$G$49,MATCH($D554,products!$A$1:$A$49,0),MATCH(J$1,products!$A$1:$G$1,0))</f>
        <v>L</v>
      </c>
      <c r="K554" s="4">
        <f>INDEX(products!$A$1:$G$49,MATCH($D554,products!$A$1:$A$49,0),MATCH(K$1,products!$A$1:$G$1,0))</f>
        <v>0.2</v>
      </c>
      <c r="L554" s="5">
        <f>INDEX(products!$A$1:$G$49,MATCH($D554,products!$A$1:$A$49,0),MATCH(L$1,products!$A$1:$G$1,0))</f>
        <v>4.4550000000000001</v>
      </c>
      <c r="M554" s="5">
        <f t="shared" si="25"/>
        <v>17.82</v>
      </c>
      <c r="N554" t="str">
        <f t="shared" si="27"/>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INDEX(products!$A$1:$G$49,MATCH($D555,products!$A$1:$A$49,0),MATCH(I$1,products!$A$1:$G$1,0))</f>
        <v>Exc</v>
      </c>
      <c r="J555" t="str">
        <f>INDEX(products!$A$1:$G$49,MATCH($D555,products!$A$1:$A$49,0),MATCH(J$1,products!$A$1:$G$1,0))</f>
        <v>M</v>
      </c>
      <c r="K555" s="4">
        <f>INDEX(products!$A$1:$G$49,MATCH($D555,products!$A$1:$A$49,0),MATCH(K$1,products!$A$1:$G$1,0))</f>
        <v>1</v>
      </c>
      <c r="L555" s="5">
        <f>INDEX(products!$A$1:$G$49,MATCH($D555,products!$A$1:$A$49,0),MATCH(L$1,products!$A$1:$G$1,0))</f>
        <v>13.75</v>
      </c>
      <c r="M555" s="5">
        <f t="shared" si="25"/>
        <v>68.75</v>
      </c>
      <c r="N555" t="str">
        <f t="shared" si="27"/>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f>
        <v>Madelaine Sharples</v>
      </c>
      <c r="G556" s="2" t="str">
        <f>IF(_xlfn.XLOOKUP(C556,customers!$A$1:$A$1001,customers!$C$1:$C$1001,,0)=0,"",_xlfn.XLOOKUP(C556,customers!$A$1:$A$1001,customers!$C$1:$C$1001,,0))</f>
        <v/>
      </c>
      <c r="H556" s="2" t="str">
        <f>_xlfn.XLOOKUP(C556,customers!$A$1:$A$1001,customers!$G$1:$G$1001,,0)</f>
        <v>United Kingdom</v>
      </c>
      <c r="I556" t="str">
        <f>INDEX(products!$A$1:$G$49,MATCH($D556,products!$A$1:$A$49,0),MATCH(I$1,products!$A$1:$G$1,0))</f>
        <v>Rob</v>
      </c>
      <c r="J556" t="str">
        <f>INDEX(products!$A$1:$G$49,MATCH($D556,products!$A$1:$A$49,0),MATCH(J$1,products!$A$1:$G$1,0))</f>
        <v>L</v>
      </c>
      <c r="K556" s="4">
        <f>INDEX(products!$A$1:$G$49,MATCH($D556,products!$A$1:$A$49,0),MATCH(K$1,products!$A$1:$G$1,0))</f>
        <v>2.5</v>
      </c>
      <c r="L556" s="5">
        <f>INDEX(products!$A$1:$G$49,MATCH($D556,products!$A$1:$A$49,0),MATCH(L$1,products!$A$1:$G$1,0))</f>
        <v>27.484999999999996</v>
      </c>
      <c r="M556" s="5">
        <f t="shared" si="25"/>
        <v>54.969999999999992</v>
      </c>
      <c r="N556" t="str">
        <f t="shared" si="27"/>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f>
        <v>Sigfrid Busch</v>
      </c>
      <c r="G557" s="2" t="str">
        <f>IF(_xlfn.XLOOKUP(C557,customers!$A$1:$A$1001,customers!$C$1:$C$1001,,0)=0,"",_xlfn.XLOOKUP(C557,customers!$A$1:$A$1001,customers!$C$1:$C$1001,,0))</f>
        <v>sbuschff@so-net.ne.jp</v>
      </c>
      <c r="H557" s="2" t="str">
        <f>_xlfn.XLOOKUP(C557,customers!$A$1:$A$1001,customers!$G$1:$G$1001,,0)</f>
        <v>Ireland</v>
      </c>
      <c r="I557" t="str">
        <f>INDEX(products!$A$1:$G$49,MATCH($D557,products!$A$1:$A$49,0),MATCH(I$1,products!$A$1:$G$1,0))</f>
        <v>Exc</v>
      </c>
      <c r="J557" t="str">
        <f>INDEX(products!$A$1:$G$49,MATCH($D557,products!$A$1:$A$49,0),MATCH(J$1,products!$A$1:$G$1,0))</f>
        <v>M</v>
      </c>
      <c r="K557" s="4">
        <f>INDEX(products!$A$1:$G$49,MATCH($D557,products!$A$1:$A$49,0),MATCH(K$1,products!$A$1:$G$1,0))</f>
        <v>1</v>
      </c>
      <c r="L557" s="5">
        <f>INDEX(products!$A$1:$G$49,MATCH($D557,products!$A$1:$A$49,0),MATCH(L$1,products!$A$1:$G$1,0))</f>
        <v>13.75</v>
      </c>
      <c r="M557" s="5">
        <f t="shared" si="25"/>
        <v>82.5</v>
      </c>
      <c r="N557" t="str">
        <f t="shared" si="27"/>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INDEX(products!$A$1:$G$49,MATCH($D558,products!$A$1:$A$49,0),MATCH(I$1,products!$A$1:$G$1,0))</f>
        <v>Lib</v>
      </c>
      <c r="J558" t="str">
        <f>INDEX(products!$A$1:$G$49,MATCH($D558,products!$A$1:$A$49,0),MATCH(J$1,products!$A$1:$G$1,0))</f>
        <v>M</v>
      </c>
      <c r="K558" s="4">
        <f>INDEX(products!$A$1:$G$49,MATCH($D558,products!$A$1:$A$49,0),MATCH(K$1,products!$A$1:$G$1,0))</f>
        <v>0.2</v>
      </c>
      <c r="L558" s="5">
        <f>INDEX(products!$A$1:$G$49,MATCH($D558,products!$A$1:$A$49,0),MATCH(L$1,products!$A$1:$G$1,0))</f>
        <v>4.3650000000000002</v>
      </c>
      <c r="M558" s="5">
        <f t="shared" si="25"/>
        <v>8.73</v>
      </c>
      <c r="N558" t="str">
        <f t="shared" si="27"/>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f>
        <v>Marja Urion</v>
      </c>
      <c r="G559" s="2" t="str">
        <f>IF(_xlfn.XLOOKUP(C559,customers!$A$1:$A$1001,customers!$C$1:$C$1001,,0)=0,"",_xlfn.XLOOKUP(C559,customers!$A$1:$A$1001,customers!$C$1:$C$1001,,0))</f>
        <v>murione5@alexa.com</v>
      </c>
      <c r="H559" s="2" t="str">
        <f>_xlfn.XLOOKUP(C559,customers!$A$1:$A$1001,customers!$G$1:$G$1001,,0)</f>
        <v>Ireland</v>
      </c>
      <c r="I559" t="str">
        <f>INDEX(products!$A$1:$G$49,MATCH($D559,products!$A$1:$A$49,0),MATCH(I$1,products!$A$1:$G$1,0))</f>
        <v>Exc</v>
      </c>
      <c r="J559" t="str">
        <f>INDEX(products!$A$1:$G$49,MATCH($D559,products!$A$1:$A$49,0),MATCH(J$1,products!$A$1:$G$1,0))</f>
        <v>L</v>
      </c>
      <c r="K559" s="4">
        <f>INDEX(products!$A$1:$G$49,MATCH($D559,products!$A$1:$A$49,0),MATCH(K$1,products!$A$1:$G$1,0))</f>
        <v>1</v>
      </c>
      <c r="L559" s="5">
        <f>INDEX(products!$A$1:$G$49,MATCH($D559,products!$A$1:$A$49,0),MATCH(L$1,products!$A$1:$G$1,0))</f>
        <v>14.85</v>
      </c>
      <c r="M559" s="5">
        <f t="shared" si="25"/>
        <v>59.4</v>
      </c>
      <c r="N559" t="str">
        <f t="shared" si="27"/>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f>
        <v>Kenton Wetherick</v>
      </c>
      <c r="G560" s="2" t="str">
        <f>IF(_xlfn.XLOOKUP(C560,customers!$A$1:$A$1001,customers!$C$1:$C$1001,,0)=0,"",_xlfn.XLOOKUP(C560,customers!$A$1:$A$1001,customers!$C$1:$C$1001,,0))</f>
        <v/>
      </c>
      <c r="H560" s="2" t="str">
        <f>_xlfn.XLOOKUP(C560,customers!$A$1:$A$1001,customers!$G$1:$G$1001,,0)</f>
        <v>United States</v>
      </c>
      <c r="I560" t="str">
        <f>INDEX(products!$A$1:$G$49,MATCH($D560,products!$A$1:$A$49,0),MATCH(I$1,products!$A$1:$G$1,0))</f>
        <v>Lib</v>
      </c>
      <c r="J560" t="str">
        <f>INDEX(products!$A$1:$G$49,MATCH($D560,products!$A$1:$A$49,0),MATCH(J$1,products!$A$1:$G$1,0))</f>
        <v>D</v>
      </c>
      <c r="K560" s="4">
        <f>INDEX(products!$A$1:$G$49,MATCH($D560,products!$A$1:$A$49,0),MATCH(K$1,products!$A$1:$G$1,0))</f>
        <v>0.2</v>
      </c>
      <c r="L560" s="5">
        <f>INDEX(products!$A$1:$G$49,MATCH($D560,products!$A$1:$A$49,0),MATCH(L$1,products!$A$1:$G$1,0))</f>
        <v>3.8849999999999998</v>
      </c>
      <c r="M560" s="5">
        <f t="shared" si="25"/>
        <v>15.54</v>
      </c>
      <c r="N560" t="str">
        <f t="shared" si="27"/>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INDEX(products!$A$1:$G$49,MATCH($D561,products!$A$1:$A$49,0),MATCH(I$1,products!$A$1:$G$1,0))</f>
        <v>Ara</v>
      </c>
      <c r="J561" t="str">
        <f>INDEX(products!$A$1:$G$49,MATCH($D561,products!$A$1:$A$49,0),MATCH(J$1,products!$A$1:$G$1,0))</f>
        <v>L</v>
      </c>
      <c r="K561" s="4">
        <f>INDEX(products!$A$1:$G$49,MATCH($D561,products!$A$1:$A$49,0),MATCH(K$1,products!$A$1:$G$1,0))</f>
        <v>1</v>
      </c>
      <c r="L561" s="5">
        <f>INDEX(products!$A$1:$G$49,MATCH($D561,products!$A$1:$A$49,0),MATCH(L$1,products!$A$1:$G$1,0))</f>
        <v>12.95</v>
      </c>
      <c r="M561" s="5">
        <f t="shared" si="25"/>
        <v>38.849999999999994</v>
      </c>
      <c r="N561" t="str">
        <f t="shared" si="27"/>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f>
        <v>Hatty Dovydenas</v>
      </c>
      <c r="G562" s="2" t="str">
        <f>IF(_xlfn.XLOOKUP(C562,customers!$A$1:$A$1001,customers!$C$1:$C$1001,,0)=0,"",_xlfn.XLOOKUP(C562,customers!$A$1:$A$1001,customers!$C$1:$C$1001,,0))</f>
        <v/>
      </c>
      <c r="H562" s="2" t="str">
        <f>_xlfn.XLOOKUP(C562,customers!$A$1:$A$1001,customers!$G$1:$G$1001,,0)</f>
        <v>United States</v>
      </c>
      <c r="I562" t="str">
        <f>INDEX(products!$A$1:$G$49,MATCH($D562,products!$A$1:$A$49,0),MATCH(I$1,products!$A$1:$G$1,0))</f>
        <v>Exc</v>
      </c>
      <c r="J562" t="str">
        <f>INDEX(products!$A$1:$G$49,MATCH($D562,products!$A$1:$A$49,0),MATCH(J$1,products!$A$1:$G$1,0))</f>
        <v>M</v>
      </c>
      <c r="K562" s="4">
        <f>INDEX(products!$A$1:$G$49,MATCH($D562,products!$A$1:$A$49,0),MATCH(K$1,products!$A$1:$G$1,0))</f>
        <v>2.5</v>
      </c>
      <c r="L562" s="5">
        <f>INDEX(products!$A$1:$G$49,MATCH($D562,products!$A$1:$A$49,0),MATCH(L$1,products!$A$1:$G$1,0))</f>
        <v>31.624999999999996</v>
      </c>
      <c r="M562" s="5">
        <f t="shared" si="25"/>
        <v>189.74999999999997</v>
      </c>
      <c r="N562" t="str">
        <f t="shared" si="27"/>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f>
        <v>Nathaniel Bloxland</v>
      </c>
      <c r="G563" s="2" t="str">
        <f>IF(_xlfn.XLOOKUP(C563,customers!$A$1:$A$1001,customers!$C$1:$C$1001,,0)=0,"",_xlfn.XLOOKUP(C563,customers!$A$1:$A$1001,customers!$C$1:$C$1001,,0))</f>
        <v/>
      </c>
      <c r="H563" s="2" t="str">
        <f>_xlfn.XLOOKUP(C563,customers!$A$1:$A$1001,customers!$G$1:$G$1001,,0)</f>
        <v>Ireland</v>
      </c>
      <c r="I563" t="str">
        <f>INDEX(products!$A$1:$G$49,MATCH($D563,products!$A$1:$A$49,0),MATCH(I$1,products!$A$1:$G$1,0))</f>
        <v>Ara</v>
      </c>
      <c r="J563" t="str">
        <f>INDEX(products!$A$1:$G$49,MATCH($D563,products!$A$1:$A$49,0),MATCH(J$1,products!$A$1:$G$1,0))</f>
        <v>D</v>
      </c>
      <c r="K563" s="4">
        <f>INDEX(products!$A$1:$G$49,MATCH($D563,products!$A$1:$A$49,0),MATCH(K$1,products!$A$1:$G$1,0))</f>
        <v>0.2</v>
      </c>
      <c r="L563" s="5">
        <f>INDEX(products!$A$1:$G$49,MATCH($D563,products!$A$1:$A$49,0),MATCH(L$1,products!$A$1:$G$1,0))</f>
        <v>2.9849999999999999</v>
      </c>
      <c r="M563" s="5">
        <f t="shared" si="25"/>
        <v>17.91</v>
      </c>
      <c r="N563" t="str">
        <f t="shared" si="27"/>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INDEX(products!$A$1:$G$49,MATCH($D564,products!$A$1:$A$49,0),MATCH(I$1,products!$A$1:$G$1,0))</f>
        <v>Lib</v>
      </c>
      <c r="J564" t="str">
        <f>INDEX(products!$A$1:$G$49,MATCH($D564,products!$A$1:$A$49,0),MATCH(J$1,products!$A$1:$G$1,0))</f>
        <v>L</v>
      </c>
      <c r="K564" s="4">
        <f>INDEX(products!$A$1:$G$49,MATCH($D564,products!$A$1:$A$49,0),MATCH(K$1,products!$A$1:$G$1,0))</f>
        <v>0.2</v>
      </c>
      <c r="L564" s="5">
        <f>INDEX(products!$A$1:$G$49,MATCH($D564,products!$A$1:$A$49,0),MATCH(L$1,products!$A$1:$G$1,0))</f>
        <v>4.7549999999999999</v>
      </c>
      <c r="M564" s="5">
        <f t="shared" si="25"/>
        <v>28.53</v>
      </c>
      <c r="N564" t="str">
        <f t="shared" si="27"/>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INDEX(products!$A$1:$G$49,MATCH($D565,products!$A$1:$A$49,0),MATCH(I$1,products!$A$1:$G$1,0))</f>
        <v>Exc</v>
      </c>
      <c r="J565" t="str">
        <f>INDEX(products!$A$1:$G$49,MATCH($D565,products!$A$1:$A$49,0),MATCH(J$1,products!$A$1:$G$1,0))</f>
        <v>M</v>
      </c>
      <c r="K565" s="4">
        <f>INDEX(products!$A$1:$G$49,MATCH($D565,products!$A$1:$A$49,0),MATCH(K$1,products!$A$1:$G$1,0))</f>
        <v>1</v>
      </c>
      <c r="L565" s="5">
        <f>INDEX(products!$A$1:$G$49,MATCH($D565,products!$A$1:$A$49,0),MATCH(L$1,products!$A$1:$G$1,0))</f>
        <v>13.75</v>
      </c>
      <c r="M565" s="5">
        <f t="shared" si="25"/>
        <v>82.5</v>
      </c>
      <c r="N565" t="str">
        <f t="shared" si="27"/>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f>
        <v>Abbe Thys</v>
      </c>
      <c r="G566" s="2" t="str">
        <f>IF(_xlfn.XLOOKUP(C566,customers!$A$1:$A$1001,customers!$C$1:$C$1001,,0)=0,"",_xlfn.XLOOKUP(C566,customers!$A$1:$A$1001,customers!$C$1:$C$1001,,0))</f>
        <v>athysfo@cdc.gov</v>
      </c>
      <c r="H566" s="2" t="str">
        <f>_xlfn.XLOOKUP(C566,customers!$A$1:$A$1001,customers!$G$1:$G$1001,,0)</f>
        <v>United States</v>
      </c>
      <c r="I566" t="str">
        <f>INDEX(products!$A$1:$G$49,MATCH($D566,products!$A$1:$A$49,0),MATCH(I$1,products!$A$1:$G$1,0))</f>
        <v>Rob</v>
      </c>
      <c r="J566" t="str">
        <f>INDEX(products!$A$1:$G$49,MATCH($D566,products!$A$1:$A$49,0),MATCH(J$1,products!$A$1:$G$1,0))</f>
        <v>L</v>
      </c>
      <c r="K566" s="4">
        <f>INDEX(products!$A$1:$G$49,MATCH($D566,products!$A$1:$A$49,0),MATCH(K$1,products!$A$1:$G$1,0))</f>
        <v>0.5</v>
      </c>
      <c r="L566" s="5">
        <f>INDEX(products!$A$1:$G$49,MATCH($D566,products!$A$1:$A$49,0),MATCH(L$1,products!$A$1:$G$1,0))</f>
        <v>7.169999999999999</v>
      </c>
      <c r="M566" s="5">
        <f t="shared" si="25"/>
        <v>14.339999999999998</v>
      </c>
      <c r="N566" t="str">
        <f t="shared" si="27"/>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INDEX(products!$A$1:$G$49,MATCH($D567,products!$A$1:$A$49,0),MATCH(I$1,products!$A$1:$G$1,0))</f>
        <v>Rob</v>
      </c>
      <c r="J567" t="str">
        <f>INDEX(products!$A$1:$G$49,MATCH($D567,products!$A$1:$A$49,0),MATCH(J$1,products!$A$1:$G$1,0))</f>
        <v>D</v>
      </c>
      <c r="K567" s="4">
        <f>INDEX(products!$A$1:$G$49,MATCH($D567,products!$A$1:$A$49,0),MATCH(K$1,products!$A$1:$G$1,0))</f>
        <v>2.5</v>
      </c>
      <c r="L567" s="5">
        <f>INDEX(products!$A$1:$G$49,MATCH($D567,products!$A$1:$A$49,0),MATCH(L$1,products!$A$1:$G$1,0))</f>
        <v>20.584999999999997</v>
      </c>
      <c r="M567" s="5">
        <f t="shared" si="25"/>
        <v>82.339999999999989</v>
      </c>
      <c r="N567" t="str">
        <f t="shared" si="27"/>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INDEX(products!$A$1:$G$49,MATCH($D568,products!$A$1:$A$49,0),MATCH(I$1,products!$A$1:$G$1,0))</f>
        <v>Ara</v>
      </c>
      <c r="J568" t="str">
        <f>INDEX(products!$A$1:$G$49,MATCH($D568,products!$A$1:$A$49,0),MATCH(J$1,products!$A$1:$G$1,0))</f>
        <v>M</v>
      </c>
      <c r="K568" s="4">
        <f>INDEX(products!$A$1:$G$49,MATCH($D568,products!$A$1:$A$49,0),MATCH(K$1,products!$A$1:$G$1,0))</f>
        <v>0.2</v>
      </c>
      <c r="L568" s="5">
        <f>INDEX(products!$A$1:$G$49,MATCH($D568,products!$A$1:$A$49,0),MATCH(L$1,products!$A$1:$G$1,0))</f>
        <v>3.375</v>
      </c>
      <c r="M568" s="5">
        <f t="shared" si="25"/>
        <v>20.25</v>
      </c>
      <c r="N568" t="str">
        <f t="shared" si="27"/>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f>
        <v>Elvina Angel</v>
      </c>
      <c r="G569" s="2" t="str">
        <f>IF(_xlfn.XLOOKUP(C569,customers!$A$1:$A$1001,customers!$C$1:$C$1001,,0)=0,"",_xlfn.XLOOKUP(C569,customers!$A$1:$A$1001,customers!$C$1:$C$1001,,0))</f>
        <v/>
      </c>
      <c r="H569" s="2" t="str">
        <f>_xlfn.XLOOKUP(C569,customers!$A$1:$A$1001,customers!$G$1:$G$1001,,0)</f>
        <v>Ireland</v>
      </c>
      <c r="I569" t="str">
        <f>INDEX(products!$A$1:$G$49,MATCH($D569,products!$A$1:$A$49,0),MATCH(I$1,products!$A$1:$G$1,0))</f>
        <v>Rob</v>
      </c>
      <c r="J569" t="str">
        <f>INDEX(products!$A$1:$G$49,MATCH($D569,products!$A$1:$A$49,0),MATCH(J$1,products!$A$1:$G$1,0))</f>
        <v>L</v>
      </c>
      <c r="K569" s="4">
        <f>INDEX(products!$A$1:$G$49,MATCH($D569,products!$A$1:$A$49,0),MATCH(K$1,products!$A$1:$G$1,0))</f>
        <v>2.5</v>
      </c>
      <c r="L569" s="5">
        <f>INDEX(products!$A$1:$G$49,MATCH($D569,products!$A$1:$A$49,0),MATCH(L$1,products!$A$1:$G$1,0))</f>
        <v>27.484999999999996</v>
      </c>
      <c r="M569" s="5">
        <f t="shared" si="25"/>
        <v>164.90999999999997</v>
      </c>
      <c r="N569" t="str">
        <f t="shared" si="27"/>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INDEX(products!$A$1:$G$49,MATCH($D570,products!$A$1:$A$49,0),MATCH(I$1,products!$A$1:$G$1,0))</f>
        <v>Lib</v>
      </c>
      <c r="J570" t="str">
        <f>INDEX(products!$A$1:$G$49,MATCH($D570,products!$A$1:$A$49,0),MATCH(J$1,products!$A$1:$G$1,0))</f>
        <v>L</v>
      </c>
      <c r="K570" s="4">
        <f>INDEX(products!$A$1:$G$49,MATCH($D570,products!$A$1:$A$49,0),MATCH(K$1,products!$A$1:$G$1,0))</f>
        <v>0.2</v>
      </c>
      <c r="L570" s="5">
        <f>INDEX(products!$A$1:$G$49,MATCH($D570,products!$A$1:$A$49,0),MATCH(L$1,products!$A$1:$G$1,0))</f>
        <v>4.7549999999999999</v>
      </c>
      <c r="M570" s="5">
        <f t="shared" si="25"/>
        <v>19.02</v>
      </c>
      <c r="N570" t="str">
        <f t="shared" si="27"/>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INDEX(products!$A$1:$G$49,MATCH($D571,products!$A$1:$A$49,0),MATCH(I$1,products!$A$1:$G$1,0))</f>
        <v>Ara</v>
      </c>
      <c r="J571" t="str">
        <f>INDEX(products!$A$1:$G$49,MATCH($D571,products!$A$1:$A$49,0),MATCH(J$1,products!$A$1:$G$1,0))</f>
        <v>D</v>
      </c>
      <c r="K571" s="4">
        <f>INDEX(products!$A$1:$G$49,MATCH($D571,products!$A$1:$A$49,0),MATCH(K$1,products!$A$1:$G$1,0))</f>
        <v>2.5</v>
      </c>
      <c r="L571" s="5">
        <f>INDEX(products!$A$1:$G$49,MATCH($D571,products!$A$1:$A$49,0),MATCH(L$1,products!$A$1:$G$1,0))</f>
        <v>22.884999999999998</v>
      </c>
      <c r="M571" s="5">
        <f t="shared" si="25"/>
        <v>137.31</v>
      </c>
      <c r="N571" t="str">
        <f t="shared" si="27"/>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INDEX(products!$A$1:$G$49,MATCH($D572,products!$A$1:$A$49,0),MATCH(I$1,products!$A$1:$G$1,0))</f>
        <v>Ara</v>
      </c>
      <c r="J572" t="str">
        <f>INDEX(products!$A$1:$G$49,MATCH($D572,products!$A$1:$A$49,0),MATCH(J$1,products!$A$1:$G$1,0))</f>
        <v>M</v>
      </c>
      <c r="K572" s="4">
        <f>INDEX(products!$A$1:$G$49,MATCH($D572,products!$A$1:$A$49,0),MATCH(K$1,products!$A$1:$G$1,0))</f>
        <v>0.5</v>
      </c>
      <c r="L572" s="5">
        <f>INDEX(products!$A$1:$G$49,MATCH($D572,products!$A$1:$A$49,0),MATCH(L$1,products!$A$1:$G$1,0))</f>
        <v>6.75</v>
      </c>
      <c r="M572" s="5">
        <f t="shared" si="25"/>
        <v>27</v>
      </c>
      <c r="N572" t="str">
        <f t="shared" si="27"/>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INDEX(products!$A$1:$G$49,MATCH($D573,products!$A$1:$A$49,0),MATCH(I$1,products!$A$1:$G$1,0))</f>
        <v>Exc</v>
      </c>
      <c r="J573" t="str">
        <f>INDEX(products!$A$1:$G$49,MATCH($D573,products!$A$1:$A$49,0),MATCH(J$1,products!$A$1:$G$1,0))</f>
        <v>L</v>
      </c>
      <c r="K573" s="4">
        <f>INDEX(products!$A$1:$G$49,MATCH($D573,products!$A$1:$A$49,0),MATCH(K$1,products!$A$1:$G$1,0))</f>
        <v>0.5</v>
      </c>
      <c r="L573" s="5">
        <f>INDEX(products!$A$1:$G$49,MATCH($D573,products!$A$1:$A$49,0),MATCH(L$1,products!$A$1:$G$1,0))</f>
        <v>8.91</v>
      </c>
      <c r="M573" s="5">
        <f t="shared" si="25"/>
        <v>35.64</v>
      </c>
      <c r="N573" t="str">
        <f t="shared" si="27"/>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f>
        <v>Herbie Peppard</v>
      </c>
      <c r="G574" s="2" t="str">
        <f>IF(_xlfn.XLOOKUP(C574,customers!$A$1:$A$1001,customers!$C$1:$C$1001,,0)=0,"",_xlfn.XLOOKUP(C574,customers!$A$1:$A$1001,customers!$C$1:$C$1001,,0))</f>
        <v/>
      </c>
      <c r="H574" s="2" t="str">
        <f>_xlfn.XLOOKUP(C574,customers!$A$1:$A$1001,customers!$G$1:$G$1001,,0)</f>
        <v>United States</v>
      </c>
      <c r="I574" t="str">
        <f>INDEX(products!$A$1:$G$49,MATCH($D574,products!$A$1:$A$49,0),MATCH(I$1,products!$A$1:$G$1,0))</f>
        <v>Ara</v>
      </c>
      <c r="J574" t="str">
        <f>INDEX(products!$A$1:$G$49,MATCH($D574,products!$A$1:$A$49,0),MATCH(J$1,products!$A$1:$G$1,0))</f>
        <v>D</v>
      </c>
      <c r="K574" s="4">
        <f>INDEX(products!$A$1:$G$49,MATCH($D574,products!$A$1:$A$49,0),MATCH(K$1,products!$A$1:$G$1,0))</f>
        <v>0.2</v>
      </c>
      <c r="L574" s="5">
        <f>INDEX(products!$A$1:$G$49,MATCH($D574,products!$A$1:$A$49,0),MATCH(L$1,products!$A$1:$G$1,0))</f>
        <v>2.9849999999999999</v>
      </c>
      <c r="M574" s="5">
        <f t="shared" si="25"/>
        <v>5.97</v>
      </c>
      <c r="N574" t="str">
        <f t="shared" si="27"/>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INDEX(products!$A$1:$G$49,MATCH($D575,products!$A$1:$A$49,0),MATCH(I$1,products!$A$1:$G$1,0))</f>
        <v>Ara</v>
      </c>
      <c r="J575" t="str">
        <f>INDEX(products!$A$1:$G$49,MATCH($D575,products!$A$1:$A$49,0),MATCH(J$1,products!$A$1:$G$1,0))</f>
        <v>M</v>
      </c>
      <c r="K575" s="4">
        <f>INDEX(products!$A$1:$G$49,MATCH($D575,products!$A$1:$A$49,0),MATCH(K$1,products!$A$1:$G$1,0))</f>
        <v>1</v>
      </c>
      <c r="L575" s="5">
        <f>INDEX(products!$A$1:$G$49,MATCH($D575,products!$A$1:$A$49,0),MATCH(L$1,products!$A$1:$G$1,0))</f>
        <v>11.25</v>
      </c>
      <c r="M575" s="5">
        <f t="shared" si="25"/>
        <v>67.5</v>
      </c>
      <c r="N575" t="str">
        <f t="shared" si="27"/>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INDEX(products!$A$1:$G$49,MATCH($D576,products!$A$1:$A$49,0),MATCH(I$1,products!$A$1:$G$1,0))</f>
        <v>Rob</v>
      </c>
      <c r="J576" t="str">
        <f>INDEX(products!$A$1:$G$49,MATCH($D576,products!$A$1:$A$49,0),MATCH(J$1,products!$A$1:$G$1,0))</f>
        <v>L</v>
      </c>
      <c r="K576" s="4">
        <f>INDEX(products!$A$1:$G$49,MATCH($D576,products!$A$1:$A$49,0),MATCH(K$1,products!$A$1:$G$1,0))</f>
        <v>0.2</v>
      </c>
      <c r="L576" s="5">
        <f>INDEX(products!$A$1:$G$49,MATCH($D576,products!$A$1:$A$49,0),MATCH(L$1,products!$A$1:$G$1,0))</f>
        <v>3.5849999999999995</v>
      </c>
      <c r="M576" s="5">
        <f t="shared" si="25"/>
        <v>21.509999999999998</v>
      </c>
      <c r="N576" t="str">
        <f t="shared" si="27"/>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INDEX(products!$A$1:$G$49,MATCH($D577,products!$A$1:$A$49,0),MATCH(I$1,products!$A$1:$G$1,0))</f>
        <v>Lib</v>
      </c>
      <c r="J577" t="str">
        <f>INDEX(products!$A$1:$G$49,MATCH($D577,products!$A$1:$A$49,0),MATCH(J$1,products!$A$1:$G$1,0))</f>
        <v>M</v>
      </c>
      <c r="K577" s="4">
        <f>INDEX(products!$A$1:$G$49,MATCH($D577,products!$A$1:$A$49,0),MATCH(K$1,products!$A$1:$G$1,0))</f>
        <v>2.5</v>
      </c>
      <c r="L577" s="5">
        <f>INDEX(products!$A$1:$G$49,MATCH($D577,products!$A$1:$A$49,0),MATCH(L$1,products!$A$1:$G$1,0))</f>
        <v>33.464999999999996</v>
      </c>
      <c r="M577" s="5">
        <f t="shared" si="25"/>
        <v>66.929999999999993</v>
      </c>
      <c r="N577" t="str">
        <f t="shared" si="27"/>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INDEX(products!$A$1:$G$49,MATCH($D578,products!$A$1:$A$49,0),MATCH(I$1,products!$A$1:$G$1,0))</f>
        <v>Ara</v>
      </c>
      <c r="J578" t="str">
        <f>INDEX(products!$A$1:$G$49,MATCH($D578,products!$A$1:$A$49,0),MATCH(J$1,products!$A$1:$G$1,0))</f>
        <v>D</v>
      </c>
      <c r="K578" s="4">
        <f>INDEX(products!$A$1:$G$49,MATCH($D578,products!$A$1:$A$49,0),MATCH(K$1,products!$A$1:$G$1,0))</f>
        <v>0.2</v>
      </c>
      <c r="L578" s="5">
        <f>INDEX(products!$A$1:$G$49,MATCH($D578,products!$A$1:$A$49,0),MATCH(L$1,products!$A$1:$G$1,0))</f>
        <v>2.9849999999999999</v>
      </c>
      <c r="M578" s="5">
        <f t="shared" si="25"/>
        <v>17.91</v>
      </c>
      <c r="N578" t="str">
        <f t="shared" si="27"/>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INDEX(products!$A$1:$G$49,MATCH($D579,products!$A$1:$A$49,0),MATCH(I$1,products!$A$1:$G$1,0))</f>
        <v>Lib</v>
      </c>
      <c r="J579" t="str">
        <f>INDEX(products!$A$1:$G$49,MATCH($D579,products!$A$1:$A$49,0),MATCH(J$1,products!$A$1:$G$1,0))</f>
        <v>M</v>
      </c>
      <c r="K579" s="4">
        <f>INDEX(products!$A$1:$G$49,MATCH($D579,products!$A$1:$A$49,0),MATCH(K$1,products!$A$1:$G$1,0))</f>
        <v>1</v>
      </c>
      <c r="L579" s="5">
        <f>INDEX(products!$A$1:$G$49,MATCH($D579,products!$A$1:$A$49,0),MATCH(L$1,products!$A$1:$G$1,0))</f>
        <v>14.55</v>
      </c>
      <c r="M579" s="5">
        <f t="shared" ref="M579:M642" si="28">L579*E579</f>
        <v>58.2</v>
      </c>
      <c r="N579" t="str">
        <f t="shared" si="27"/>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INDEX(products!$A$1:$G$49,MATCH($D580,products!$A$1:$A$49,0),MATCH(I$1,products!$A$1:$G$1,0))</f>
        <v>Exc</v>
      </c>
      <c r="J580" t="str">
        <f>INDEX(products!$A$1:$G$49,MATCH($D580,products!$A$1:$A$49,0),MATCH(J$1,products!$A$1:$G$1,0))</f>
        <v>L</v>
      </c>
      <c r="K580" s="4">
        <f>INDEX(products!$A$1:$G$49,MATCH($D580,products!$A$1:$A$49,0),MATCH(K$1,products!$A$1:$G$1,0))</f>
        <v>0.2</v>
      </c>
      <c r="L580" s="5">
        <f>INDEX(products!$A$1:$G$49,MATCH($D580,products!$A$1:$A$49,0),MATCH(L$1,products!$A$1:$G$1,0))</f>
        <v>4.4550000000000001</v>
      </c>
      <c r="M580" s="5">
        <f t="shared" si="28"/>
        <v>13.365</v>
      </c>
      <c r="N580" t="str">
        <f t="shared" si="27"/>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INDEX(products!$A$1:$G$49,MATCH($D581,products!$A$1:$A$49,0),MATCH(I$1,products!$A$1:$G$1,0))</f>
        <v>Ara</v>
      </c>
      <c r="J581" t="str">
        <f>INDEX(products!$A$1:$G$49,MATCH($D581,products!$A$1:$A$49,0),MATCH(J$1,products!$A$1:$G$1,0))</f>
        <v>M</v>
      </c>
      <c r="K581" s="4">
        <f>INDEX(products!$A$1:$G$49,MATCH($D581,products!$A$1:$A$49,0),MATCH(K$1,products!$A$1:$G$1,0))</f>
        <v>0.5</v>
      </c>
      <c r="L581" s="5">
        <f>INDEX(products!$A$1:$G$49,MATCH($D581,products!$A$1:$A$49,0),MATCH(L$1,products!$A$1:$G$1,0))</f>
        <v>6.75</v>
      </c>
      <c r="M581" s="5">
        <f t="shared" si="28"/>
        <v>33.75</v>
      </c>
      <c r="N581" t="str">
        <f t="shared" si="27"/>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INDEX(products!$A$1:$G$49,MATCH($D582,products!$A$1:$A$49,0),MATCH(I$1,products!$A$1:$G$1,0))</f>
        <v>Exc</v>
      </c>
      <c r="J582" t="str">
        <f>INDEX(products!$A$1:$G$49,MATCH($D582,products!$A$1:$A$49,0),MATCH(J$1,products!$A$1:$G$1,0))</f>
        <v>L</v>
      </c>
      <c r="K582" s="4">
        <f>INDEX(products!$A$1:$G$49,MATCH($D582,products!$A$1:$A$49,0),MATCH(K$1,products!$A$1:$G$1,0))</f>
        <v>1</v>
      </c>
      <c r="L582" s="5">
        <f>INDEX(products!$A$1:$G$49,MATCH($D582,products!$A$1:$A$49,0),MATCH(L$1,products!$A$1:$G$1,0))</f>
        <v>14.85</v>
      </c>
      <c r="M582" s="5">
        <f t="shared" si="28"/>
        <v>44.55</v>
      </c>
      <c r="N582" t="str">
        <f t="shared" si="27"/>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INDEX(products!$A$1:$G$49,MATCH($D583,products!$A$1:$A$49,0),MATCH(I$1,products!$A$1:$G$1,0))</f>
        <v>Exc</v>
      </c>
      <c r="J583" t="str">
        <f>INDEX(products!$A$1:$G$49,MATCH($D583,products!$A$1:$A$49,0),MATCH(J$1,products!$A$1:$G$1,0))</f>
        <v>L</v>
      </c>
      <c r="K583" s="4">
        <f>INDEX(products!$A$1:$G$49,MATCH($D583,products!$A$1:$A$49,0),MATCH(K$1,products!$A$1:$G$1,0))</f>
        <v>0.5</v>
      </c>
      <c r="L583" s="5">
        <f>INDEX(products!$A$1:$G$49,MATCH($D583,products!$A$1:$A$49,0),MATCH(L$1,products!$A$1:$G$1,0))</f>
        <v>8.91</v>
      </c>
      <c r="M583" s="5">
        <f t="shared" si="28"/>
        <v>44.55</v>
      </c>
      <c r="N583" t="str">
        <f t="shared" ref="N583:N646" si="30">IF(I583="Rob","Robusta",IF(I583="Ara","Arabica",IF(I583="Exc","Excelsa",IF(I583="Lib","Liberica",""))))</f>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INDEX(products!$A$1:$G$49,MATCH($D584,products!$A$1:$A$49,0),MATCH(I$1,products!$A$1:$G$1,0))</f>
        <v>Exc</v>
      </c>
      <c r="J584" t="str">
        <f>INDEX(products!$A$1:$G$49,MATCH($D584,products!$A$1:$A$49,0),MATCH(J$1,products!$A$1:$G$1,0))</f>
        <v>D</v>
      </c>
      <c r="K584" s="4">
        <f>INDEX(products!$A$1:$G$49,MATCH($D584,products!$A$1:$A$49,0),MATCH(K$1,products!$A$1:$G$1,0))</f>
        <v>1</v>
      </c>
      <c r="L584" s="5">
        <f>INDEX(products!$A$1:$G$49,MATCH($D584,products!$A$1:$A$49,0),MATCH(L$1,products!$A$1:$G$1,0))</f>
        <v>12.15</v>
      </c>
      <c r="M584" s="5">
        <f t="shared" si="28"/>
        <v>60.75</v>
      </c>
      <c r="N584" t="str">
        <f t="shared" si="30"/>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INDEX(products!$A$1:$G$49,MATCH($D585,products!$A$1:$A$49,0),MATCH(I$1,products!$A$1:$G$1,0))</f>
        <v>Rob</v>
      </c>
      <c r="J585" t="str">
        <f>INDEX(products!$A$1:$G$49,MATCH($D585,products!$A$1:$A$49,0),MATCH(J$1,products!$A$1:$G$1,0))</f>
        <v>L</v>
      </c>
      <c r="K585" s="4">
        <f>INDEX(products!$A$1:$G$49,MATCH($D585,products!$A$1:$A$49,0),MATCH(K$1,products!$A$1:$G$1,0))</f>
        <v>0.2</v>
      </c>
      <c r="L585" s="5">
        <f>INDEX(products!$A$1:$G$49,MATCH($D585,products!$A$1:$A$49,0),MATCH(L$1,products!$A$1:$G$1,0))</f>
        <v>3.5849999999999995</v>
      </c>
      <c r="M585" s="5">
        <f t="shared" si="28"/>
        <v>3.5849999999999995</v>
      </c>
      <c r="N585" t="str">
        <f t="shared" si="30"/>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INDEX(products!$A$1:$G$49,MATCH($D586,products!$A$1:$A$49,0),MATCH(I$1,products!$A$1:$G$1,0))</f>
        <v>Rob</v>
      </c>
      <c r="J586" t="str">
        <f>INDEX(products!$A$1:$G$49,MATCH($D586,products!$A$1:$A$49,0),MATCH(J$1,products!$A$1:$G$1,0))</f>
        <v>L</v>
      </c>
      <c r="K586" s="4">
        <f>INDEX(products!$A$1:$G$49,MATCH($D586,products!$A$1:$A$49,0),MATCH(K$1,products!$A$1:$G$1,0))</f>
        <v>0.2</v>
      </c>
      <c r="L586" s="5">
        <f>INDEX(products!$A$1:$G$49,MATCH($D586,products!$A$1:$A$49,0),MATCH(L$1,products!$A$1:$G$1,0))</f>
        <v>3.5849999999999995</v>
      </c>
      <c r="M586" s="5">
        <f t="shared" si="28"/>
        <v>21.509999999999998</v>
      </c>
      <c r="N586" t="str">
        <f t="shared" si="30"/>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INDEX(products!$A$1:$G$49,MATCH($D587,products!$A$1:$A$49,0),MATCH(I$1,products!$A$1:$G$1,0))</f>
        <v>Exc</v>
      </c>
      <c r="J587" t="str">
        <f>INDEX(products!$A$1:$G$49,MATCH($D587,products!$A$1:$A$49,0),MATCH(J$1,products!$A$1:$G$1,0))</f>
        <v>M</v>
      </c>
      <c r="K587" s="4">
        <f>INDEX(products!$A$1:$G$49,MATCH($D587,products!$A$1:$A$49,0),MATCH(K$1,products!$A$1:$G$1,0))</f>
        <v>0.5</v>
      </c>
      <c r="L587" s="5">
        <f>INDEX(products!$A$1:$G$49,MATCH($D587,products!$A$1:$A$49,0),MATCH(L$1,products!$A$1:$G$1,0))</f>
        <v>8.25</v>
      </c>
      <c r="M587" s="5">
        <f t="shared" si="28"/>
        <v>16.5</v>
      </c>
      <c r="N587" t="str">
        <f t="shared" si="30"/>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f>
        <v>Zilvia Claisse</v>
      </c>
      <c r="G588" s="2" t="str">
        <f>IF(_xlfn.XLOOKUP(C588,customers!$A$1:$A$1001,customers!$C$1:$C$1001,,0)=0,"",_xlfn.XLOOKUP(C588,customers!$A$1:$A$1001,customers!$C$1:$C$1001,,0))</f>
        <v/>
      </c>
      <c r="H588" s="2" t="str">
        <f>_xlfn.XLOOKUP(C588,customers!$A$1:$A$1001,customers!$G$1:$G$1001,,0)</f>
        <v>United States</v>
      </c>
      <c r="I588" t="str">
        <f>INDEX(products!$A$1:$G$49,MATCH($D588,products!$A$1:$A$49,0),MATCH(I$1,products!$A$1:$G$1,0))</f>
        <v>Rob</v>
      </c>
      <c r="J588" t="str">
        <f>INDEX(products!$A$1:$G$49,MATCH($D588,products!$A$1:$A$49,0),MATCH(J$1,products!$A$1:$G$1,0))</f>
        <v>L</v>
      </c>
      <c r="K588" s="4">
        <f>INDEX(products!$A$1:$G$49,MATCH($D588,products!$A$1:$A$49,0),MATCH(K$1,products!$A$1:$G$1,0))</f>
        <v>2.5</v>
      </c>
      <c r="L588" s="5">
        <f>INDEX(products!$A$1:$G$49,MATCH($D588,products!$A$1:$A$49,0),MATCH(L$1,products!$A$1:$G$1,0))</f>
        <v>27.484999999999996</v>
      </c>
      <c r="M588" s="5">
        <f t="shared" si="28"/>
        <v>82.454999999999984</v>
      </c>
      <c r="N588" t="str">
        <f t="shared" si="30"/>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INDEX(products!$A$1:$G$49,MATCH($D589,products!$A$1:$A$49,0),MATCH(I$1,products!$A$1:$G$1,0))</f>
        <v>Lib</v>
      </c>
      <c r="J589" t="str">
        <f>INDEX(products!$A$1:$G$49,MATCH($D589,products!$A$1:$A$49,0),MATCH(J$1,products!$A$1:$G$1,0))</f>
        <v>D</v>
      </c>
      <c r="K589" s="4">
        <f>INDEX(products!$A$1:$G$49,MATCH($D589,products!$A$1:$A$49,0),MATCH(K$1,products!$A$1:$G$1,0))</f>
        <v>0.5</v>
      </c>
      <c r="L589" s="5">
        <f>INDEX(products!$A$1:$G$49,MATCH($D589,products!$A$1:$A$49,0),MATCH(L$1,products!$A$1:$G$1,0))</f>
        <v>7.77</v>
      </c>
      <c r="M589" s="5">
        <f t="shared" si="28"/>
        <v>7.77</v>
      </c>
      <c r="N589" t="str">
        <f t="shared" si="30"/>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INDEX(products!$A$1:$G$49,MATCH($D590,products!$A$1:$A$49,0),MATCH(I$1,products!$A$1:$G$1,0))</f>
        <v>Rob</v>
      </c>
      <c r="J590" t="str">
        <f>INDEX(products!$A$1:$G$49,MATCH($D590,products!$A$1:$A$49,0),MATCH(J$1,products!$A$1:$G$1,0))</f>
        <v>M</v>
      </c>
      <c r="K590" s="4">
        <f>INDEX(products!$A$1:$G$49,MATCH($D590,products!$A$1:$A$49,0),MATCH(K$1,products!$A$1:$G$1,0))</f>
        <v>0.5</v>
      </c>
      <c r="L590" s="5">
        <f>INDEX(products!$A$1:$G$49,MATCH($D590,products!$A$1:$A$49,0),MATCH(L$1,products!$A$1:$G$1,0))</f>
        <v>5.97</v>
      </c>
      <c r="M590" s="5">
        <f t="shared" si="28"/>
        <v>11.94</v>
      </c>
      <c r="N590" t="str">
        <f t="shared" si="30"/>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INDEX(products!$A$1:$G$49,MATCH($D591,products!$A$1:$A$49,0),MATCH(I$1,products!$A$1:$G$1,0))</f>
        <v>Exc</v>
      </c>
      <c r="J591" t="str">
        <f>INDEX(products!$A$1:$G$49,MATCH($D591,products!$A$1:$A$49,0),MATCH(J$1,products!$A$1:$G$1,0))</f>
        <v>L</v>
      </c>
      <c r="K591" s="4">
        <f>INDEX(products!$A$1:$G$49,MATCH($D591,products!$A$1:$A$49,0),MATCH(K$1,products!$A$1:$G$1,0))</f>
        <v>2.5</v>
      </c>
      <c r="L591" s="5">
        <f>INDEX(products!$A$1:$G$49,MATCH($D591,products!$A$1:$A$49,0),MATCH(L$1,products!$A$1:$G$1,0))</f>
        <v>34.154999999999994</v>
      </c>
      <c r="M591" s="5">
        <f t="shared" si="28"/>
        <v>204.92999999999995</v>
      </c>
      <c r="N591" t="str">
        <f t="shared" si="30"/>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INDEX(products!$A$1:$G$49,MATCH($D592,products!$A$1:$A$49,0),MATCH(I$1,products!$A$1:$G$1,0))</f>
        <v>Exc</v>
      </c>
      <c r="J592" t="str">
        <f>INDEX(products!$A$1:$G$49,MATCH($D592,products!$A$1:$A$49,0),MATCH(J$1,products!$A$1:$G$1,0))</f>
        <v>M</v>
      </c>
      <c r="K592" s="4">
        <f>INDEX(products!$A$1:$G$49,MATCH($D592,products!$A$1:$A$49,0),MATCH(K$1,products!$A$1:$G$1,0))</f>
        <v>2.5</v>
      </c>
      <c r="L592" s="5">
        <f>INDEX(products!$A$1:$G$49,MATCH($D592,products!$A$1:$A$49,0),MATCH(L$1,products!$A$1:$G$1,0))</f>
        <v>31.624999999999996</v>
      </c>
      <c r="M592" s="5">
        <f t="shared" si="28"/>
        <v>63.249999999999993</v>
      </c>
      <c r="N592" t="str">
        <f t="shared" si="30"/>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INDEX(products!$A$1:$G$49,MATCH($D593,products!$A$1:$A$49,0),MATCH(I$1,products!$A$1:$G$1,0))</f>
        <v>Rob</v>
      </c>
      <c r="J593" t="str">
        <f>INDEX(products!$A$1:$G$49,MATCH($D593,products!$A$1:$A$49,0),MATCH(J$1,products!$A$1:$G$1,0))</f>
        <v>D</v>
      </c>
      <c r="K593" s="4">
        <f>INDEX(products!$A$1:$G$49,MATCH($D593,products!$A$1:$A$49,0),MATCH(K$1,products!$A$1:$G$1,0))</f>
        <v>0.2</v>
      </c>
      <c r="L593" s="5">
        <f>INDEX(products!$A$1:$G$49,MATCH($D593,products!$A$1:$A$49,0),MATCH(L$1,products!$A$1:$G$1,0))</f>
        <v>2.6849999999999996</v>
      </c>
      <c r="M593" s="5">
        <f t="shared" si="28"/>
        <v>8.0549999999999997</v>
      </c>
      <c r="N593" t="str">
        <f t="shared" si="30"/>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f>
        <v>Kylie Mowat</v>
      </c>
      <c r="G594" s="2" t="str">
        <f>IF(_xlfn.XLOOKUP(C594,customers!$A$1:$A$1001,customers!$C$1:$C$1001,,0)=0,"",_xlfn.XLOOKUP(C594,customers!$A$1:$A$1001,customers!$C$1:$C$1001,,0))</f>
        <v/>
      </c>
      <c r="H594" s="2" t="str">
        <f>_xlfn.XLOOKUP(C594,customers!$A$1:$A$1001,customers!$G$1:$G$1001,,0)</f>
        <v>United States</v>
      </c>
      <c r="I594" t="str">
        <f>INDEX(products!$A$1:$G$49,MATCH($D594,products!$A$1:$A$49,0),MATCH(I$1,products!$A$1:$G$1,0))</f>
        <v>Ara</v>
      </c>
      <c r="J594" t="str">
        <f>INDEX(products!$A$1:$G$49,MATCH($D594,products!$A$1:$A$49,0),MATCH(J$1,products!$A$1:$G$1,0))</f>
        <v>M</v>
      </c>
      <c r="K594" s="4">
        <f>INDEX(products!$A$1:$G$49,MATCH($D594,products!$A$1:$A$49,0),MATCH(K$1,products!$A$1:$G$1,0))</f>
        <v>2.5</v>
      </c>
      <c r="L594" s="5">
        <f>INDEX(products!$A$1:$G$49,MATCH($D594,products!$A$1:$A$49,0),MATCH(L$1,products!$A$1:$G$1,0))</f>
        <v>25.874999999999996</v>
      </c>
      <c r="M594" s="5">
        <f t="shared" si="28"/>
        <v>51.749999999999993</v>
      </c>
      <c r="N594" t="str">
        <f t="shared" si="30"/>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INDEX(products!$A$1:$G$49,MATCH($D595,products!$A$1:$A$49,0),MATCH(I$1,products!$A$1:$G$1,0))</f>
        <v>Exc</v>
      </c>
      <c r="J595" t="str">
        <f>INDEX(products!$A$1:$G$49,MATCH($D595,products!$A$1:$A$49,0),MATCH(J$1,products!$A$1:$G$1,0))</f>
        <v>D</v>
      </c>
      <c r="K595" s="4">
        <f>INDEX(products!$A$1:$G$49,MATCH($D595,products!$A$1:$A$49,0),MATCH(K$1,products!$A$1:$G$1,0))</f>
        <v>2.5</v>
      </c>
      <c r="L595" s="5">
        <f>INDEX(products!$A$1:$G$49,MATCH($D595,products!$A$1:$A$49,0),MATCH(L$1,products!$A$1:$G$1,0))</f>
        <v>27.945</v>
      </c>
      <c r="M595" s="5">
        <f t="shared" si="28"/>
        <v>27.945</v>
      </c>
      <c r="N595" t="str">
        <f t="shared" si="30"/>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INDEX(products!$A$1:$G$49,MATCH($D596,products!$A$1:$A$49,0),MATCH(I$1,products!$A$1:$G$1,0))</f>
        <v>Ara</v>
      </c>
      <c r="J596" t="str">
        <f>INDEX(products!$A$1:$G$49,MATCH($D596,products!$A$1:$A$49,0),MATCH(J$1,products!$A$1:$G$1,0))</f>
        <v>L</v>
      </c>
      <c r="K596" s="4">
        <f>INDEX(products!$A$1:$G$49,MATCH($D596,products!$A$1:$A$49,0),MATCH(K$1,products!$A$1:$G$1,0))</f>
        <v>2.5</v>
      </c>
      <c r="L596" s="5">
        <f>INDEX(products!$A$1:$G$49,MATCH($D596,products!$A$1:$A$49,0),MATCH(L$1,products!$A$1:$G$1,0))</f>
        <v>29.784999999999997</v>
      </c>
      <c r="M596" s="5">
        <f t="shared" si="28"/>
        <v>59.569999999999993</v>
      </c>
      <c r="N596" t="str">
        <f t="shared" si="30"/>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f>
        <v>Darby Dummer</v>
      </c>
      <c r="G597" s="2" t="str">
        <f>IF(_xlfn.XLOOKUP(C597,customers!$A$1:$A$1001,customers!$C$1:$C$1001,,0)=0,"",_xlfn.XLOOKUP(C597,customers!$A$1:$A$1001,customers!$C$1:$C$1001,,0))</f>
        <v/>
      </c>
      <c r="H597" s="2" t="str">
        <f>_xlfn.XLOOKUP(C597,customers!$A$1:$A$1001,customers!$G$1:$G$1001,,0)</f>
        <v>United Kingdom</v>
      </c>
      <c r="I597" t="str">
        <f>INDEX(products!$A$1:$G$49,MATCH($D597,products!$A$1:$A$49,0),MATCH(I$1,products!$A$1:$G$1,0))</f>
        <v>Exc</v>
      </c>
      <c r="J597" t="str">
        <f>INDEX(products!$A$1:$G$49,MATCH($D597,products!$A$1:$A$49,0),MATCH(J$1,products!$A$1:$G$1,0))</f>
        <v>L</v>
      </c>
      <c r="K597" s="4">
        <f>INDEX(products!$A$1:$G$49,MATCH($D597,products!$A$1:$A$49,0),MATCH(K$1,products!$A$1:$G$1,0))</f>
        <v>1</v>
      </c>
      <c r="L597" s="5">
        <f>INDEX(products!$A$1:$G$49,MATCH($D597,products!$A$1:$A$49,0),MATCH(L$1,products!$A$1:$G$1,0))</f>
        <v>14.85</v>
      </c>
      <c r="M597" s="5">
        <f t="shared" si="28"/>
        <v>14.85</v>
      </c>
      <c r="N597" t="str">
        <f t="shared" si="30"/>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INDEX(products!$A$1:$G$49,MATCH($D598,products!$A$1:$A$49,0),MATCH(I$1,products!$A$1:$G$1,0))</f>
        <v>Ara</v>
      </c>
      <c r="J598" t="str">
        <f>INDEX(products!$A$1:$G$49,MATCH($D598,products!$A$1:$A$49,0),MATCH(J$1,products!$A$1:$G$1,0))</f>
        <v>M</v>
      </c>
      <c r="K598" s="4">
        <f>INDEX(products!$A$1:$G$49,MATCH($D598,products!$A$1:$A$49,0),MATCH(K$1,products!$A$1:$G$1,0))</f>
        <v>0.5</v>
      </c>
      <c r="L598" s="5">
        <f>INDEX(products!$A$1:$G$49,MATCH($D598,products!$A$1:$A$49,0),MATCH(L$1,products!$A$1:$G$1,0))</f>
        <v>6.75</v>
      </c>
      <c r="M598" s="5">
        <f t="shared" si="28"/>
        <v>33.75</v>
      </c>
      <c r="N598" t="str">
        <f t="shared" si="30"/>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INDEX(products!$A$1:$G$49,MATCH($D599,products!$A$1:$A$49,0),MATCH(I$1,products!$A$1:$G$1,0))</f>
        <v>Lib</v>
      </c>
      <c r="J599" t="str">
        <f>INDEX(products!$A$1:$G$49,MATCH($D599,products!$A$1:$A$49,0),MATCH(J$1,products!$A$1:$G$1,0))</f>
        <v>L</v>
      </c>
      <c r="K599" s="4">
        <f>INDEX(products!$A$1:$G$49,MATCH($D599,products!$A$1:$A$49,0),MATCH(K$1,products!$A$1:$G$1,0))</f>
        <v>2.5</v>
      </c>
      <c r="L599" s="5">
        <f>INDEX(products!$A$1:$G$49,MATCH($D599,products!$A$1:$A$49,0),MATCH(L$1,products!$A$1:$G$1,0))</f>
        <v>36.454999999999998</v>
      </c>
      <c r="M599" s="5">
        <f t="shared" si="28"/>
        <v>145.82</v>
      </c>
      <c r="N599" t="str">
        <f t="shared" si="30"/>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INDEX(products!$A$1:$G$49,MATCH($D600,products!$A$1:$A$49,0),MATCH(I$1,products!$A$1:$G$1,0))</f>
        <v>Rob</v>
      </c>
      <c r="J600" t="str">
        <f>INDEX(products!$A$1:$G$49,MATCH($D600,products!$A$1:$A$49,0),MATCH(J$1,products!$A$1:$G$1,0))</f>
        <v>M</v>
      </c>
      <c r="K600" s="4">
        <f>INDEX(products!$A$1:$G$49,MATCH($D600,products!$A$1:$A$49,0),MATCH(K$1,products!$A$1:$G$1,0))</f>
        <v>0.2</v>
      </c>
      <c r="L600" s="5">
        <f>INDEX(products!$A$1:$G$49,MATCH($D600,products!$A$1:$A$49,0),MATCH(L$1,products!$A$1:$G$1,0))</f>
        <v>2.9849999999999999</v>
      </c>
      <c r="M600" s="5">
        <f t="shared" si="28"/>
        <v>11.94</v>
      </c>
      <c r="N600" t="str">
        <f t="shared" si="30"/>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INDEX(products!$A$1:$G$49,MATCH($D601,products!$A$1:$A$49,0),MATCH(I$1,products!$A$1:$G$1,0))</f>
        <v>Ara</v>
      </c>
      <c r="J601" t="str">
        <f>INDEX(products!$A$1:$G$49,MATCH($D601,products!$A$1:$A$49,0),MATCH(J$1,products!$A$1:$G$1,0))</f>
        <v>D</v>
      </c>
      <c r="K601" s="4">
        <f>INDEX(products!$A$1:$G$49,MATCH($D601,products!$A$1:$A$49,0),MATCH(K$1,products!$A$1:$G$1,0))</f>
        <v>0.2</v>
      </c>
      <c r="L601" s="5">
        <f>INDEX(products!$A$1:$G$49,MATCH($D601,products!$A$1:$A$49,0),MATCH(L$1,products!$A$1:$G$1,0))</f>
        <v>2.9849999999999999</v>
      </c>
      <c r="M601" s="5">
        <f t="shared" si="28"/>
        <v>11.94</v>
      </c>
      <c r="N601" t="str">
        <f t="shared" si="30"/>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INDEX(products!$A$1:$G$49,MATCH($D602,products!$A$1:$A$49,0),MATCH(I$1,products!$A$1:$G$1,0))</f>
        <v>Lib</v>
      </c>
      <c r="J602" t="str">
        <f>INDEX(products!$A$1:$G$49,MATCH($D602,products!$A$1:$A$49,0),MATCH(J$1,products!$A$1:$G$1,0))</f>
        <v>D</v>
      </c>
      <c r="K602" s="4">
        <f>INDEX(products!$A$1:$G$49,MATCH($D602,products!$A$1:$A$49,0),MATCH(K$1,products!$A$1:$G$1,0))</f>
        <v>0.5</v>
      </c>
      <c r="L602" s="5">
        <f>INDEX(products!$A$1:$G$49,MATCH($D602,products!$A$1:$A$49,0),MATCH(L$1,products!$A$1:$G$1,0))</f>
        <v>7.77</v>
      </c>
      <c r="M602" s="5">
        <f t="shared" si="28"/>
        <v>7.77</v>
      </c>
      <c r="N602" t="str">
        <f t="shared" si="30"/>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INDEX(products!$A$1:$G$49,MATCH($D603,products!$A$1:$A$49,0),MATCH(I$1,products!$A$1:$G$1,0))</f>
        <v>Rob</v>
      </c>
      <c r="J603" t="str">
        <f>INDEX(products!$A$1:$G$49,MATCH($D603,products!$A$1:$A$49,0),MATCH(J$1,products!$A$1:$G$1,0))</f>
        <v>L</v>
      </c>
      <c r="K603" s="4">
        <f>INDEX(products!$A$1:$G$49,MATCH($D603,products!$A$1:$A$49,0),MATCH(K$1,products!$A$1:$G$1,0))</f>
        <v>2.5</v>
      </c>
      <c r="L603" s="5">
        <f>INDEX(products!$A$1:$G$49,MATCH($D603,products!$A$1:$A$49,0),MATCH(L$1,products!$A$1:$G$1,0))</f>
        <v>27.484999999999996</v>
      </c>
      <c r="M603" s="5">
        <f t="shared" si="28"/>
        <v>109.93999999999998</v>
      </c>
      <c r="N603" t="str">
        <f t="shared" si="30"/>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INDEX(products!$A$1:$G$49,MATCH($D604,products!$A$1:$A$49,0),MATCH(I$1,products!$A$1:$G$1,0))</f>
        <v>Exc</v>
      </c>
      <c r="J604" t="str">
        <f>INDEX(products!$A$1:$G$49,MATCH($D604,products!$A$1:$A$49,0),MATCH(J$1,products!$A$1:$G$1,0))</f>
        <v>L</v>
      </c>
      <c r="K604" s="4">
        <f>INDEX(products!$A$1:$G$49,MATCH($D604,products!$A$1:$A$49,0),MATCH(K$1,products!$A$1:$G$1,0))</f>
        <v>0.2</v>
      </c>
      <c r="L604" s="5">
        <f>INDEX(products!$A$1:$G$49,MATCH($D604,products!$A$1:$A$49,0),MATCH(L$1,products!$A$1:$G$1,0))</f>
        <v>4.4550000000000001</v>
      </c>
      <c r="M604" s="5">
        <f t="shared" si="28"/>
        <v>22.274999999999999</v>
      </c>
      <c r="N604" t="str">
        <f t="shared" si="30"/>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INDEX(products!$A$1:$G$49,MATCH($D605,products!$A$1:$A$49,0),MATCH(I$1,products!$A$1:$G$1,0))</f>
        <v>Rob</v>
      </c>
      <c r="J605" t="str">
        <f>INDEX(products!$A$1:$G$49,MATCH($D605,products!$A$1:$A$49,0),MATCH(J$1,products!$A$1:$G$1,0))</f>
        <v>M</v>
      </c>
      <c r="K605" s="4">
        <f>INDEX(products!$A$1:$G$49,MATCH($D605,products!$A$1:$A$49,0),MATCH(K$1,products!$A$1:$G$1,0))</f>
        <v>0.2</v>
      </c>
      <c r="L605" s="5">
        <f>INDEX(products!$A$1:$G$49,MATCH($D605,products!$A$1:$A$49,0),MATCH(L$1,products!$A$1:$G$1,0))</f>
        <v>2.9849999999999999</v>
      </c>
      <c r="M605" s="5">
        <f t="shared" si="28"/>
        <v>8.9550000000000001</v>
      </c>
      <c r="N605" t="str">
        <f t="shared" si="30"/>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f>
        <v>Jorge Bettison</v>
      </c>
      <c r="G606" s="2" t="str">
        <f>IF(_xlfn.XLOOKUP(C606,customers!$A$1:$A$1001,customers!$C$1:$C$1001,,0)=0,"",_xlfn.XLOOKUP(C606,customers!$A$1:$A$1001,customers!$C$1:$C$1001,,0))</f>
        <v/>
      </c>
      <c r="H606" s="2" t="str">
        <f>_xlfn.XLOOKUP(C606,customers!$A$1:$A$1001,customers!$G$1:$G$1001,,0)</f>
        <v>Ireland</v>
      </c>
      <c r="I606" t="str">
        <f>INDEX(products!$A$1:$G$49,MATCH($D606,products!$A$1:$A$49,0),MATCH(I$1,products!$A$1:$G$1,0))</f>
        <v>Lib</v>
      </c>
      <c r="J606" t="str">
        <f>INDEX(products!$A$1:$G$49,MATCH($D606,products!$A$1:$A$49,0),MATCH(J$1,products!$A$1:$G$1,0))</f>
        <v>D</v>
      </c>
      <c r="K606" s="4">
        <f>INDEX(products!$A$1:$G$49,MATCH($D606,products!$A$1:$A$49,0),MATCH(K$1,products!$A$1:$G$1,0))</f>
        <v>2.5</v>
      </c>
      <c r="L606" s="5">
        <f>INDEX(products!$A$1:$G$49,MATCH($D606,products!$A$1:$A$49,0),MATCH(L$1,products!$A$1:$G$1,0))</f>
        <v>29.784999999999997</v>
      </c>
      <c r="M606" s="5">
        <f t="shared" si="28"/>
        <v>119.13999999999999</v>
      </c>
      <c r="N606" t="str">
        <f t="shared" si="30"/>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INDEX(products!$A$1:$G$49,MATCH($D607,products!$A$1:$A$49,0),MATCH(I$1,products!$A$1:$G$1,0))</f>
        <v>Ara</v>
      </c>
      <c r="J607" t="str">
        <f>INDEX(products!$A$1:$G$49,MATCH($D607,products!$A$1:$A$49,0),MATCH(J$1,products!$A$1:$G$1,0))</f>
        <v>L</v>
      </c>
      <c r="K607" s="4">
        <f>INDEX(products!$A$1:$G$49,MATCH($D607,products!$A$1:$A$49,0),MATCH(K$1,products!$A$1:$G$1,0))</f>
        <v>2.5</v>
      </c>
      <c r="L607" s="5">
        <f>INDEX(products!$A$1:$G$49,MATCH($D607,products!$A$1:$A$49,0),MATCH(L$1,products!$A$1:$G$1,0))</f>
        <v>29.784999999999997</v>
      </c>
      <c r="M607" s="5">
        <f t="shared" si="28"/>
        <v>148.92499999999998</v>
      </c>
      <c r="N607" t="str">
        <f t="shared" si="30"/>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INDEX(products!$A$1:$G$49,MATCH($D608,products!$A$1:$A$49,0),MATCH(I$1,products!$A$1:$G$1,0))</f>
        <v>Lib</v>
      </c>
      <c r="J608" t="str">
        <f>INDEX(products!$A$1:$G$49,MATCH($D608,products!$A$1:$A$49,0),MATCH(J$1,products!$A$1:$G$1,0))</f>
        <v>L</v>
      </c>
      <c r="K608" s="4">
        <f>INDEX(products!$A$1:$G$49,MATCH($D608,products!$A$1:$A$49,0),MATCH(K$1,products!$A$1:$G$1,0))</f>
        <v>2.5</v>
      </c>
      <c r="L608" s="5">
        <f>INDEX(products!$A$1:$G$49,MATCH($D608,products!$A$1:$A$49,0),MATCH(L$1,products!$A$1:$G$1,0))</f>
        <v>36.454999999999998</v>
      </c>
      <c r="M608" s="5">
        <f t="shared" si="28"/>
        <v>109.36499999999999</v>
      </c>
      <c r="N608" t="str">
        <f t="shared" si="30"/>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INDEX(products!$A$1:$G$49,MATCH($D609,products!$A$1:$A$49,0),MATCH(I$1,products!$A$1:$G$1,0))</f>
        <v>Exc</v>
      </c>
      <c r="J609" t="str">
        <f>INDEX(products!$A$1:$G$49,MATCH($D609,products!$A$1:$A$49,0),MATCH(J$1,products!$A$1:$G$1,0))</f>
        <v>D</v>
      </c>
      <c r="K609" s="4">
        <f>INDEX(products!$A$1:$G$49,MATCH($D609,products!$A$1:$A$49,0),MATCH(K$1,products!$A$1:$G$1,0))</f>
        <v>0.2</v>
      </c>
      <c r="L609" s="5">
        <f>INDEX(products!$A$1:$G$49,MATCH($D609,products!$A$1:$A$49,0),MATCH(L$1,products!$A$1:$G$1,0))</f>
        <v>3.645</v>
      </c>
      <c r="M609" s="5">
        <f t="shared" si="28"/>
        <v>3.645</v>
      </c>
      <c r="N609" t="str">
        <f t="shared" si="30"/>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f>
        <v>Billy Neiland</v>
      </c>
      <c r="G610" s="2" t="str">
        <f>IF(_xlfn.XLOOKUP(C610,customers!$A$1:$A$1001,customers!$C$1:$C$1001,,0)=0,"",_xlfn.XLOOKUP(C610,customers!$A$1:$A$1001,customers!$C$1:$C$1001,,0))</f>
        <v/>
      </c>
      <c r="H610" s="2" t="str">
        <f>_xlfn.XLOOKUP(C610,customers!$A$1:$A$1001,customers!$G$1:$G$1001,,0)</f>
        <v>United States</v>
      </c>
      <c r="I610" t="str">
        <f>INDEX(products!$A$1:$G$49,MATCH($D610,products!$A$1:$A$49,0),MATCH(I$1,products!$A$1:$G$1,0))</f>
        <v>Exc</v>
      </c>
      <c r="J610" t="str">
        <f>INDEX(products!$A$1:$G$49,MATCH($D610,products!$A$1:$A$49,0),MATCH(J$1,products!$A$1:$G$1,0))</f>
        <v>D</v>
      </c>
      <c r="K610" s="4">
        <f>INDEX(products!$A$1:$G$49,MATCH($D610,products!$A$1:$A$49,0),MATCH(K$1,products!$A$1:$G$1,0))</f>
        <v>2.5</v>
      </c>
      <c r="L610" s="5">
        <f>INDEX(products!$A$1:$G$49,MATCH($D610,products!$A$1:$A$49,0),MATCH(L$1,products!$A$1:$G$1,0))</f>
        <v>27.945</v>
      </c>
      <c r="M610" s="5">
        <f t="shared" si="28"/>
        <v>55.89</v>
      </c>
      <c r="N610" t="str">
        <f t="shared" si="30"/>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INDEX(products!$A$1:$G$49,MATCH($D611,products!$A$1:$A$49,0),MATCH(I$1,products!$A$1:$G$1,0))</f>
        <v>Lib</v>
      </c>
      <c r="J611" t="str">
        <f>INDEX(products!$A$1:$G$49,MATCH($D611,products!$A$1:$A$49,0),MATCH(J$1,products!$A$1:$G$1,0))</f>
        <v>M</v>
      </c>
      <c r="K611" s="4">
        <f>INDEX(products!$A$1:$G$49,MATCH($D611,products!$A$1:$A$49,0),MATCH(K$1,products!$A$1:$G$1,0))</f>
        <v>0.2</v>
      </c>
      <c r="L611" s="5">
        <f>INDEX(products!$A$1:$G$49,MATCH($D611,products!$A$1:$A$49,0),MATCH(L$1,products!$A$1:$G$1,0))</f>
        <v>4.3650000000000002</v>
      </c>
      <c r="M611" s="5">
        <f t="shared" si="28"/>
        <v>26.19</v>
      </c>
      <c r="N611" t="str">
        <f t="shared" si="30"/>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INDEX(products!$A$1:$G$49,MATCH($D612,products!$A$1:$A$49,0),MATCH(I$1,products!$A$1:$G$1,0))</f>
        <v>Rob</v>
      </c>
      <c r="J612" t="str">
        <f>INDEX(products!$A$1:$G$49,MATCH($D612,products!$A$1:$A$49,0),MATCH(J$1,products!$A$1:$G$1,0))</f>
        <v>M</v>
      </c>
      <c r="K612" s="4">
        <f>INDEX(products!$A$1:$G$49,MATCH($D612,products!$A$1:$A$49,0),MATCH(K$1,products!$A$1:$G$1,0))</f>
        <v>1</v>
      </c>
      <c r="L612" s="5">
        <f>INDEX(products!$A$1:$G$49,MATCH($D612,products!$A$1:$A$49,0),MATCH(L$1,products!$A$1:$G$1,0))</f>
        <v>9.9499999999999993</v>
      </c>
      <c r="M612" s="5">
        <f t="shared" si="28"/>
        <v>39.799999999999997</v>
      </c>
      <c r="N612" t="str">
        <f t="shared" si="30"/>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INDEX(products!$A$1:$G$49,MATCH($D613,products!$A$1:$A$49,0),MATCH(I$1,products!$A$1:$G$1,0))</f>
        <v>Exc</v>
      </c>
      <c r="J613" t="str">
        <f>INDEX(products!$A$1:$G$49,MATCH($D613,products!$A$1:$A$49,0),MATCH(J$1,products!$A$1:$G$1,0))</f>
        <v>L</v>
      </c>
      <c r="K613" s="4">
        <f>INDEX(products!$A$1:$G$49,MATCH($D613,products!$A$1:$A$49,0),MATCH(K$1,products!$A$1:$G$1,0))</f>
        <v>2.5</v>
      </c>
      <c r="L613" s="5">
        <f>INDEX(products!$A$1:$G$49,MATCH($D613,products!$A$1:$A$49,0),MATCH(L$1,products!$A$1:$G$1,0))</f>
        <v>34.154999999999994</v>
      </c>
      <c r="M613" s="5">
        <f t="shared" si="28"/>
        <v>68.309999999999988</v>
      </c>
      <c r="N613" t="str">
        <f t="shared" si="30"/>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f>
        <v>Betti Lacasa</v>
      </c>
      <c r="G614" s="2" t="str">
        <f>IF(_xlfn.XLOOKUP(C614,customers!$A$1:$A$1001,customers!$C$1:$C$1001,,0)=0,"",_xlfn.XLOOKUP(C614,customers!$A$1:$A$1001,customers!$C$1:$C$1001,,0))</f>
        <v/>
      </c>
      <c r="H614" s="2" t="str">
        <f>_xlfn.XLOOKUP(C614,customers!$A$1:$A$1001,customers!$G$1:$G$1001,,0)</f>
        <v>Ireland</v>
      </c>
      <c r="I614" t="str">
        <f>INDEX(products!$A$1:$G$49,MATCH($D614,products!$A$1:$A$49,0),MATCH(I$1,products!$A$1:$G$1,0))</f>
        <v>Ara</v>
      </c>
      <c r="J614" t="str">
        <f>INDEX(products!$A$1:$G$49,MATCH($D614,products!$A$1:$A$49,0),MATCH(J$1,products!$A$1:$G$1,0))</f>
        <v>M</v>
      </c>
      <c r="K614" s="4">
        <f>INDEX(products!$A$1:$G$49,MATCH($D614,products!$A$1:$A$49,0),MATCH(K$1,products!$A$1:$G$1,0))</f>
        <v>0.2</v>
      </c>
      <c r="L614" s="5">
        <f>INDEX(products!$A$1:$G$49,MATCH($D614,products!$A$1:$A$49,0),MATCH(L$1,products!$A$1:$G$1,0))</f>
        <v>3.375</v>
      </c>
      <c r="M614" s="5">
        <f t="shared" si="28"/>
        <v>13.5</v>
      </c>
      <c r="N614" t="str">
        <f t="shared" si="30"/>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f>
        <v>Gunilla Lynch</v>
      </c>
      <c r="G615" s="2" t="str">
        <f>IF(_xlfn.XLOOKUP(C615,customers!$A$1:$A$1001,customers!$C$1:$C$1001,,0)=0,"",_xlfn.XLOOKUP(C615,customers!$A$1:$A$1001,customers!$C$1:$C$1001,,0))</f>
        <v/>
      </c>
      <c r="H615" s="2" t="str">
        <f>_xlfn.XLOOKUP(C615,customers!$A$1:$A$1001,customers!$G$1:$G$1001,,0)</f>
        <v>United States</v>
      </c>
      <c r="I615" t="str">
        <f>INDEX(products!$A$1:$G$49,MATCH($D615,products!$A$1:$A$49,0),MATCH(I$1,products!$A$1:$G$1,0))</f>
        <v>Rob</v>
      </c>
      <c r="J615" t="str">
        <f>INDEX(products!$A$1:$G$49,MATCH($D615,products!$A$1:$A$49,0),MATCH(J$1,products!$A$1:$G$1,0))</f>
        <v>M</v>
      </c>
      <c r="K615" s="4">
        <f>INDEX(products!$A$1:$G$49,MATCH($D615,products!$A$1:$A$49,0),MATCH(K$1,products!$A$1:$G$1,0))</f>
        <v>0.5</v>
      </c>
      <c r="L615" s="5">
        <f>INDEX(products!$A$1:$G$49,MATCH($D615,products!$A$1:$A$49,0),MATCH(L$1,products!$A$1:$G$1,0))</f>
        <v>5.97</v>
      </c>
      <c r="M615" s="5">
        <f t="shared" si="28"/>
        <v>5.97</v>
      </c>
      <c r="N615" t="str">
        <f t="shared" si="30"/>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INDEX(products!$A$1:$G$49,MATCH($D616,products!$A$1:$A$49,0),MATCH(I$1,products!$A$1:$G$1,0))</f>
        <v>Rob</v>
      </c>
      <c r="J616" t="str">
        <f>INDEX(products!$A$1:$G$49,MATCH($D616,products!$A$1:$A$49,0),MATCH(J$1,products!$A$1:$G$1,0))</f>
        <v>M</v>
      </c>
      <c r="K616" s="4">
        <f>INDEX(products!$A$1:$G$49,MATCH($D616,products!$A$1:$A$49,0),MATCH(K$1,products!$A$1:$G$1,0))</f>
        <v>0.5</v>
      </c>
      <c r="L616" s="5">
        <f>INDEX(products!$A$1:$G$49,MATCH($D616,products!$A$1:$A$49,0),MATCH(L$1,products!$A$1:$G$1,0))</f>
        <v>5.97</v>
      </c>
      <c r="M616" s="5">
        <f t="shared" si="28"/>
        <v>29.849999999999998</v>
      </c>
      <c r="N616" t="str">
        <f t="shared" si="30"/>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INDEX(products!$A$1:$G$49,MATCH($D617,products!$A$1:$A$49,0),MATCH(I$1,products!$A$1:$G$1,0))</f>
        <v>Lib</v>
      </c>
      <c r="J617" t="str">
        <f>INDEX(products!$A$1:$G$49,MATCH($D617,products!$A$1:$A$49,0),MATCH(J$1,products!$A$1:$G$1,0))</f>
        <v>L</v>
      </c>
      <c r="K617" s="4">
        <f>INDEX(products!$A$1:$G$49,MATCH($D617,products!$A$1:$A$49,0),MATCH(K$1,products!$A$1:$G$1,0))</f>
        <v>2.5</v>
      </c>
      <c r="L617" s="5">
        <f>INDEX(products!$A$1:$G$49,MATCH($D617,products!$A$1:$A$49,0),MATCH(L$1,products!$A$1:$G$1,0))</f>
        <v>36.454999999999998</v>
      </c>
      <c r="M617" s="5">
        <f t="shared" si="28"/>
        <v>72.91</v>
      </c>
      <c r="N617" t="str">
        <f t="shared" si="30"/>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INDEX(products!$A$1:$G$49,MATCH($D618,products!$A$1:$A$49,0),MATCH(I$1,products!$A$1:$G$1,0))</f>
        <v>Exc</v>
      </c>
      <c r="J618" t="str">
        <f>INDEX(products!$A$1:$G$49,MATCH($D618,products!$A$1:$A$49,0),MATCH(J$1,products!$A$1:$G$1,0))</f>
        <v>M</v>
      </c>
      <c r="K618" s="4">
        <f>INDEX(products!$A$1:$G$49,MATCH($D618,products!$A$1:$A$49,0),MATCH(K$1,products!$A$1:$G$1,0))</f>
        <v>2.5</v>
      </c>
      <c r="L618" s="5">
        <f>INDEX(products!$A$1:$G$49,MATCH($D618,products!$A$1:$A$49,0),MATCH(L$1,products!$A$1:$G$1,0))</f>
        <v>31.624999999999996</v>
      </c>
      <c r="M618" s="5">
        <f t="shared" si="28"/>
        <v>126.49999999999999</v>
      </c>
      <c r="N618" t="str">
        <f t="shared" si="30"/>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INDEX(products!$A$1:$G$49,MATCH($D619,products!$A$1:$A$49,0),MATCH(I$1,products!$A$1:$G$1,0))</f>
        <v>Lib</v>
      </c>
      <c r="J619" t="str">
        <f>INDEX(products!$A$1:$G$49,MATCH($D619,products!$A$1:$A$49,0),MATCH(J$1,products!$A$1:$G$1,0))</f>
        <v>M</v>
      </c>
      <c r="K619" s="4">
        <f>INDEX(products!$A$1:$G$49,MATCH($D619,products!$A$1:$A$49,0),MATCH(K$1,products!$A$1:$G$1,0))</f>
        <v>2.5</v>
      </c>
      <c r="L619" s="5">
        <f>INDEX(products!$A$1:$G$49,MATCH($D619,products!$A$1:$A$49,0),MATCH(L$1,products!$A$1:$G$1,0))</f>
        <v>33.464999999999996</v>
      </c>
      <c r="M619" s="5">
        <f t="shared" si="28"/>
        <v>33.464999999999996</v>
      </c>
      <c r="N619" t="str">
        <f t="shared" si="30"/>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INDEX(products!$A$1:$G$49,MATCH($D620,products!$A$1:$A$49,0),MATCH(I$1,products!$A$1:$G$1,0))</f>
        <v>Exc</v>
      </c>
      <c r="J620" t="str">
        <f>INDEX(products!$A$1:$G$49,MATCH($D620,products!$A$1:$A$49,0),MATCH(J$1,products!$A$1:$G$1,0))</f>
        <v>D</v>
      </c>
      <c r="K620" s="4">
        <f>INDEX(products!$A$1:$G$49,MATCH($D620,products!$A$1:$A$49,0),MATCH(K$1,products!$A$1:$G$1,0))</f>
        <v>1</v>
      </c>
      <c r="L620" s="5">
        <f>INDEX(products!$A$1:$G$49,MATCH($D620,products!$A$1:$A$49,0),MATCH(L$1,products!$A$1:$G$1,0))</f>
        <v>12.15</v>
      </c>
      <c r="M620" s="5">
        <f t="shared" si="28"/>
        <v>72.900000000000006</v>
      </c>
      <c r="N620" t="str">
        <f t="shared" si="30"/>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INDEX(products!$A$1:$G$49,MATCH($D621,products!$A$1:$A$49,0),MATCH(I$1,products!$A$1:$G$1,0))</f>
        <v>Lib</v>
      </c>
      <c r="J621" t="str">
        <f>INDEX(products!$A$1:$G$49,MATCH($D621,products!$A$1:$A$49,0),MATCH(J$1,products!$A$1:$G$1,0))</f>
        <v>D</v>
      </c>
      <c r="K621" s="4">
        <f>INDEX(products!$A$1:$G$49,MATCH($D621,products!$A$1:$A$49,0),MATCH(K$1,products!$A$1:$G$1,0))</f>
        <v>0.5</v>
      </c>
      <c r="L621" s="5">
        <f>INDEX(products!$A$1:$G$49,MATCH($D621,products!$A$1:$A$49,0),MATCH(L$1,products!$A$1:$G$1,0))</f>
        <v>7.77</v>
      </c>
      <c r="M621" s="5">
        <f t="shared" si="28"/>
        <v>15.54</v>
      </c>
      <c r="N621" t="str">
        <f t="shared" si="30"/>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INDEX(products!$A$1:$G$49,MATCH($D622,products!$A$1:$A$49,0),MATCH(I$1,products!$A$1:$G$1,0))</f>
        <v>Ara</v>
      </c>
      <c r="J622" t="str">
        <f>INDEX(products!$A$1:$G$49,MATCH($D622,products!$A$1:$A$49,0),MATCH(J$1,products!$A$1:$G$1,0))</f>
        <v>M</v>
      </c>
      <c r="K622" s="4">
        <f>INDEX(products!$A$1:$G$49,MATCH($D622,products!$A$1:$A$49,0),MATCH(K$1,products!$A$1:$G$1,0))</f>
        <v>0.2</v>
      </c>
      <c r="L622" s="5">
        <f>INDEX(products!$A$1:$G$49,MATCH($D622,products!$A$1:$A$49,0),MATCH(L$1,products!$A$1:$G$1,0))</f>
        <v>3.375</v>
      </c>
      <c r="M622" s="5">
        <f t="shared" si="28"/>
        <v>20.25</v>
      </c>
      <c r="N622" t="str">
        <f t="shared" si="30"/>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INDEX(products!$A$1:$G$49,MATCH($D623,products!$A$1:$A$49,0),MATCH(I$1,products!$A$1:$G$1,0))</f>
        <v>Ara</v>
      </c>
      <c r="J623" t="str">
        <f>INDEX(products!$A$1:$G$49,MATCH($D623,products!$A$1:$A$49,0),MATCH(J$1,products!$A$1:$G$1,0))</f>
        <v>L</v>
      </c>
      <c r="K623" s="4">
        <f>INDEX(products!$A$1:$G$49,MATCH($D623,products!$A$1:$A$49,0),MATCH(K$1,products!$A$1:$G$1,0))</f>
        <v>1</v>
      </c>
      <c r="L623" s="5">
        <f>INDEX(products!$A$1:$G$49,MATCH($D623,products!$A$1:$A$49,0),MATCH(L$1,products!$A$1:$G$1,0))</f>
        <v>12.95</v>
      </c>
      <c r="M623" s="5">
        <f t="shared" si="28"/>
        <v>77.699999999999989</v>
      </c>
      <c r="N623" t="str">
        <f t="shared" si="30"/>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INDEX(products!$A$1:$G$49,MATCH($D624,products!$A$1:$A$49,0),MATCH(I$1,products!$A$1:$G$1,0))</f>
        <v>Lib</v>
      </c>
      <c r="J624" t="str">
        <f>INDEX(products!$A$1:$G$49,MATCH($D624,products!$A$1:$A$49,0),MATCH(J$1,products!$A$1:$G$1,0))</f>
        <v>M</v>
      </c>
      <c r="K624" s="4">
        <f>INDEX(products!$A$1:$G$49,MATCH($D624,products!$A$1:$A$49,0),MATCH(K$1,products!$A$1:$G$1,0))</f>
        <v>2.5</v>
      </c>
      <c r="L624" s="5">
        <f>INDEX(products!$A$1:$G$49,MATCH($D624,products!$A$1:$A$49,0),MATCH(L$1,products!$A$1:$G$1,0))</f>
        <v>33.464999999999996</v>
      </c>
      <c r="M624" s="5">
        <f t="shared" si="28"/>
        <v>133.85999999999999</v>
      </c>
      <c r="N624" t="str">
        <f t="shared" si="30"/>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f>
        <v>Nelie Garnson</v>
      </c>
      <c r="G625" s="2" t="str">
        <f>IF(_xlfn.XLOOKUP(C625,customers!$A$1:$A$1001,customers!$C$1:$C$1001,,0)=0,"",_xlfn.XLOOKUP(C625,customers!$A$1:$A$1001,customers!$C$1:$C$1001,,0))</f>
        <v/>
      </c>
      <c r="H625" s="2" t="str">
        <f>_xlfn.XLOOKUP(C625,customers!$A$1:$A$1001,customers!$G$1:$G$1001,,0)</f>
        <v>United Kingdom</v>
      </c>
      <c r="I625" t="str">
        <f>INDEX(products!$A$1:$G$49,MATCH($D625,products!$A$1:$A$49,0),MATCH(I$1,products!$A$1:$G$1,0))</f>
        <v>Exc</v>
      </c>
      <c r="J625" t="str">
        <f>INDEX(products!$A$1:$G$49,MATCH($D625,products!$A$1:$A$49,0),MATCH(J$1,products!$A$1:$G$1,0))</f>
        <v>D</v>
      </c>
      <c r="K625" s="4">
        <f>INDEX(products!$A$1:$G$49,MATCH($D625,products!$A$1:$A$49,0),MATCH(K$1,products!$A$1:$G$1,0))</f>
        <v>1</v>
      </c>
      <c r="L625" s="5">
        <f>INDEX(products!$A$1:$G$49,MATCH($D625,products!$A$1:$A$49,0),MATCH(L$1,products!$A$1:$G$1,0))</f>
        <v>12.15</v>
      </c>
      <c r="M625" s="5">
        <f t="shared" si="28"/>
        <v>12.15</v>
      </c>
      <c r="N625" t="str">
        <f t="shared" si="30"/>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f>
        <v>Dianne Chardin</v>
      </c>
      <c r="G626" s="2" t="str">
        <f>IF(_xlfn.XLOOKUP(C626,customers!$A$1:$A$1001,customers!$C$1:$C$1001,,0)=0,"",_xlfn.XLOOKUP(C626,customers!$A$1:$A$1001,customers!$C$1:$C$1001,,0))</f>
        <v>dchardinhc@nhs.uk</v>
      </c>
      <c r="H626" s="2" t="str">
        <f>_xlfn.XLOOKUP(C626,customers!$A$1:$A$1001,customers!$G$1:$G$1001,,0)</f>
        <v>Ireland</v>
      </c>
      <c r="I626" t="str">
        <f>INDEX(products!$A$1:$G$49,MATCH($D626,products!$A$1:$A$49,0),MATCH(I$1,products!$A$1:$G$1,0))</f>
        <v>Exc</v>
      </c>
      <c r="J626" t="str">
        <f>INDEX(products!$A$1:$G$49,MATCH($D626,products!$A$1:$A$49,0),MATCH(J$1,products!$A$1:$G$1,0))</f>
        <v>M</v>
      </c>
      <c r="K626" s="4">
        <f>INDEX(products!$A$1:$G$49,MATCH($D626,products!$A$1:$A$49,0),MATCH(K$1,products!$A$1:$G$1,0))</f>
        <v>2.5</v>
      </c>
      <c r="L626" s="5">
        <f>INDEX(products!$A$1:$G$49,MATCH($D626,products!$A$1:$A$49,0),MATCH(L$1,products!$A$1:$G$1,0))</f>
        <v>31.624999999999996</v>
      </c>
      <c r="M626" s="5">
        <f t="shared" si="28"/>
        <v>63.249999999999993</v>
      </c>
      <c r="N626" t="str">
        <f t="shared" si="30"/>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INDEX(products!$A$1:$G$49,MATCH($D627,products!$A$1:$A$49,0),MATCH(I$1,products!$A$1:$G$1,0))</f>
        <v>Rob</v>
      </c>
      <c r="J627" t="str">
        <f>INDEX(products!$A$1:$G$49,MATCH($D627,products!$A$1:$A$49,0),MATCH(J$1,products!$A$1:$G$1,0))</f>
        <v>L</v>
      </c>
      <c r="K627" s="4">
        <f>INDEX(products!$A$1:$G$49,MATCH($D627,products!$A$1:$A$49,0),MATCH(K$1,products!$A$1:$G$1,0))</f>
        <v>0.5</v>
      </c>
      <c r="L627" s="5">
        <f>INDEX(products!$A$1:$G$49,MATCH($D627,products!$A$1:$A$49,0),MATCH(L$1,products!$A$1:$G$1,0))</f>
        <v>7.169999999999999</v>
      </c>
      <c r="M627" s="5">
        <f t="shared" si="28"/>
        <v>35.849999999999994</v>
      </c>
      <c r="N627" t="str">
        <f t="shared" si="30"/>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INDEX(products!$A$1:$G$49,MATCH($D628,products!$A$1:$A$49,0),MATCH(I$1,products!$A$1:$G$1,0))</f>
        <v>Ara</v>
      </c>
      <c r="J628" t="str">
        <f>INDEX(products!$A$1:$G$49,MATCH($D628,products!$A$1:$A$49,0),MATCH(J$1,products!$A$1:$G$1,0))</f>
        <v>M</v>
      </c>
      <c r="K628" s="4">
        <f>INDEX(products!$A$1:$G$49,MATCH($D628,products!$A$1:$A$49,0),MATCH(K$1,products!$A$1:$G$1,0))</f>
        <v>2.5</v>
      </c>
      <c r="L628" s="5">
        <f>INDEX(products!$A$1:$G$49,MATCH($D628,products!$A$1:$A$49,0),MATCH(L$1,products!$A$1:$G$1,0))</f>
        <v>25.874999999999996</v>
      </c>
      <c r="M628" s="5">
        <f t="shared" si="28"/>
        <v>77.624999999999986</v>
      </c>
      <c r="N628" t="str">
        <f t="shared" si="30"/>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INDEX(products!$A$1:$G$49,MATCH($D629,products!$A$1:$A$49,0),MATCH(I$1,products!$A$1:$G$1,0))</f>
        <v>Exc</v>
      </c>
      <c r="J629" t="str">
        <f>INDEX(products!$A$1:$G$49,MATCH($D629,products!$A$1:$A$49,0),MATCH(J$1,products!$A$1:$G$1,0))</f>
        <v>M</v>
      </c>
      <c r="K629" s="4">
        <f>INDEX(products!$A$1:$G$49,MATCH($D629,products!$A$1:$A$49,0),MATCH(K$1,products!$A$1:$G$1,0))</f>
        <v>2.5</v>
      </c>
      <c r="L629" s="5">
        <f>INDEX(products!$A$1:$G$49,MATCH($D629,products!$A$1:$A$49,0),MATCH(L$1,products!$A$1:$G$1,0))</f>
        <v>31.624999999999996</v>
      </c>
      <c r="M629" s="5">
        <f t="shared" si="28"/>
        <v>63.249999999999993</v>
      </c>
      <c r="N629" t="str">
        <f t="shared" si="30"/>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INDEX(products!$A$1:$G$49,MATCH($D630,products!$A$1:$A$49,0),MATCH(I$1,products!$A$1:$G$1,0))</f>
        <v>Exc</v>
      </c>
      <c r="J630" t="str">
        <f>INDEX(products!$A$1:$G$49,MATCH($D630,products!$A$1:$A$49,0),MATCH(J$1,products!$A$1:$G$1,0))</f>
        <v>L</v>
      </c>
      <c r="K630" s="4">
        <f>INDEX(products!$A$1:$G$49,MATCH($D630,products!$A$1:$A$49,0),MATCH(K$1,products!$A$1:$G$1,0))</f>
        <v>0.2</v>
      </c>
      <c r="L630" s="5">
        <f>INDEX(products!$A$1:$G$49,MATCH($D630,products!$A$1:$A$49,0),MATCH(L$1,products!$A$1:$G$1,0))</f>
        <v>4.4550000000000001</v>
      </c>
      <c r="M630" s="5">
        <f t="shared" si="28"/>
        <v>26.73</v>
      </c>
      <c r="N630" t="str">
        <f t="shared" si="30"/>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INDEX(products!$A$1:$G$49,MATCH($D631,products!$A$1:$A$49,0),MATCH(I$1,products!$A$1:$G$1,0))</f>
        <v>Lib</v>
      </c>
      <c r="J631" t="str">
        <f>INDEX(products!$A$1:$G$49,MATCH($D631,products!$A$1:$A$49,0),MATCH(J$1,products!$A$1:$G$1,0))</f>
        <v>D</v>
      </c>
      <c r="K631" s="4">
        <f>INDEX(products!$A$1:$G$49,MATCH($D631,products!$A$1:$A$49,0),MATCH(K$1,products!$A$1:$G$1,0))</f>
        <v>0.5</v>
      </c>
      <c r="L631" s="5">
        <f>INDEX(products!$A$1:$G$49,MATCH($D631,products!$A$1:$A$49,0),MATCH(L$1,products!$A$1:$G$1,0))</f>
        <v>7.77</v>
      </c>
      <c r="M631" s="5">
        <f t="shared" si="28"/>
        <v>31.08</v>
      </c>
      <c r="N631" t="str">
        <f t="shared" si="30"/>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INDEX(products!$A$1:$G$49,MATCH($D632,products!$A$1:$A$49,0),MATCH(I$1,products!$A$1:$G$1,0))</f>
        <v>Ara</v>
      </c>
      <c r="J632" t="str">
        <f>INDEX(products!$A$1:$G$49,MATCH($D632,products!$A$1:$A$49,0),MATCH(J$1,products!$A$1:$G$1,0))</f>
        <v>D</v>
      </c>
      <c r="K632" s="4">
        <f>INDEX(products!$A$1:$G$49,MATCH($D632,products!$A$1:$A$49,0),MATCH(K$1,products!$A$1:$G$1,0))</f>
        <v>0.2</v>
      </c>
      <c r="L632" s="5">
        <f>INDEX(products!$A$1:$G$49,MATCH($D632,products!$A$1:$A$49,0),MATCH(L$1,products!$A$1:$G$1,0))</f>
        <v>2.9849999999999999</v>
      </c>
      <c r="M632" s="5">
        <f t="shared" si="28"/>
        <v>2.9849999999999999</v>
      </c>
      <c r="N632" t="str">
        <f t="shared" si="30"/>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INDEX(products!$A$1:$G$49,MATCH($D633,products!$A$1:$A$49,0),MATCH(I$1,products!$A$1:$G$1,0))</f>
        <v>Rob</v>
      </c>
      <c r="J633" t="str">
        <f>INDEX(products!$A$1:$G$49,MATCH($D633,products!$A$1:$A$49,0),MATCH(J$1,products!$A$1:$G$1,0))</f>
        <v>D</v>
      </c>
      <c r="K633" s="4">
        <f>INDEX(products!$A$1:$G$49,MATCH($D633,products!$A$1:$A$49,0),MATCH(K$1,products!$A$1:$G$1,0))</f>
        <v>2.5</v>
      </c>
      <c r="L633" s="5">
        <f>INDEX(products!$A$1:$G$49,MATCH($D633,products!$A$1:$A$49,0),MATCH(L$1,products!$A$1:$G$1,0))</f>
        <v>20.584999999999997</v>
      </c>
      <c r="M633" s="5">
        <f t="shared" si="28"/>
        <v>102.92499999999998</v>
      </c>
      <c r="N633" t="str">
        <f t="shared" si="30"/>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INDEX(products!$A$1:$G$49,MATCH($D634,products!$A$1:$A$49,0),MATCH(I$1,products!$A$1:$G$1,0))</f>
        <v>Exc</v>
      </c>
      <c r="J634" t="str">
        <f>INDEX(products!$A$1:$G$49,MATCH($D634,products!$A$1:$A$49,0),MATCH(J$1,products!$A$1:$G$1,0))</f>
        <v>L</v>
      </c>
      <c r="K634" s="4">
        <f>INDEX(products!$A$1:$G$49,MATCH($D634,products!$A$1:$A$49,0),MATCH(K$1,products!$A$1:$G$1,0))</f>
        <v>0.5</v>
      </c>
      <c r="L634" s="5">
        <f>INDEX(products!$A$1:$G$49,MATCH($D634,products!$A$1:$A$49,0),MATCH(L$1,products!$A$1:$G$1,0))</f>
        <v>8.91</v>
      </c>
      <c r="M634" s="5">
        <f t="shared" si="28"/>
        <v>35.64</v>
      </c>
      <c r="N634" t="str">
        <f t="shared" si="30"/>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INDEX(products!$A$1:$G$49,MATCH($D635,products!$A$1:$A$49,0),MATCH(I$1,products!$A$1:$G$1,0))</f>
        <v>Rob</v>
      </c>
      <c r="J635" t="str">
        <f>INDEX(products!$A$1:$G$49,MATCH($D635,products!$A$1:$A$49,0),MATCH(J$1,products!$A$1:$G$1,0))</f>
        <v>L</v>
      </c>
      <c r="K635" s="4">
        <f>INDEX(products!$A$1:$G$49,MATCH($D635,products!$A$1:$A$49,0),MATCH(K$1,products!$A$1:$G$1,0))</f>
        <v>1</v>
      </c>
      <c r="L635" s="5">
        <f>INDEX(products!$A$1:$G$49,MATCH($D635,products!$A$1:$A$49,0),MATCH(L$1,products!$A$1:$G$1,0))</f>
        <v>11.95</v>
      </c>
      <c r="M635" s="5">
        <f t="shared" si="28"/>
        <v>47.8</v>
      </c>
      <c r="N635" t="str">
        <f t="shared" si="30"/>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INDEX(products!$A$1:$G$49,MATCH($D636,products!$A$1:$A$49,0),MATCH(I$1,products!$A$1:$G$1,0))</f>
        <v>Lib</v>
      </c>
      <c r="J636" t="str">
        <f>INDEX(products!$A$1:$G$49,MATCH($D636,products!$A$1:$A$49,0),MATCH(J$1,products!$A$1:$G$1,0))</f>
        <v>M</v>
      </c>
      <c r="K636" s="4">
        <f>INDEX(products!$A$1:$G$49,MATCH($D636,products!$A$1:$A$49,0),MATCH(K$1,products!$A$1:$G$1,0))</f>
        <v>1</v>
      </c>
      <c r="L636" s="5">
        <f>INDEX(products!$A$1:$G$49,MATCH($D636,products!$A$1:$A$49,0),MATCH(L$1,products!$A$1:$G$1,0))</f>
        <v>14.55</v>
      </c>
      <c r="M636" s="5">
        <f t="shared" si="28"/>
        <v>43.650000000000006</v>
      </c>
      <c r="N636" t="str">
        <f t="shared" si="30"/>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INDEX(products!$A$1:$G$49,MATCH($D637,products!$A$1:$A$49,0),MATCH(I$1,products!$A$1:$G$1,0))</f>
        <v>Exc</v>
      </c>
      <c r="J637" t="str">
        <f>INDEX(products!$A$1:$G$49,MATCH($D637,products!$A$1:$A$49,0),MATCH(J$1,products!$A$1:$G$1,0))</f>
        <v>L</v>
      </c>
      <c r="K637" s="4">
        <f>INDEX(products!$A$1:$G$49,MATCH($D637,products!$A$1:$A$49,0),MATCH(K$1,products!$A$1:$G$1,0))</f>
        <v>0.5</v>
      </c>
      <c r="L637" s="5">
        <f>INDEX(products!$A$1:$G$49,MATCH($D637,products!$A$1:$A$49,0),MATCH(L$1,products!$A$1:$G$1,0))</f>
        <v>8.91</v>
      </c>
      <c r="M637" s="5">
        <f t="shared" si="28"/>
        <v>35.64</v>
      </c>
      <c r="N637" t="str">
        <f t="shared" si="30"/>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INDEX(products!$A$1:$G$49,MATCH($D638,products!$A$1:$A$49,0),MATCH(I$1,products!$A$1:$G$1,0))</f>
        <v>Lib</v>
      </c>
      <c r="J638" t="str">
        <f>INDEX(products!$A$1:$G$49,MATCH($D638,products!$A$1:$A$49,0),MATCH(J$1,products!$A$1:$G$1,0))</f>
        <v>L</v>
      </c>
      <c r="K638" s="4">
        <f>INDEX(products!$A$1:$G$49,MATCH($D638,products!$A$1:$A$49,0),MATCH(K$1,products!$A$1:$G$1,0))</f>
        <v>1</v>
      </c>
      <c r="L638" s="5">
        <f>INDEX(products!$A$1:$G$49,MATCH($D638,products!$A$1:$A$49,0),MATCH(L$1,products!$A$1:$G$1,0))</f>
        <v>15.85</v>
      </c>
      <c r="M638" s="5">
        <f t="shared" si="28"/>
        <v>95.1</v>
      </c>
      <c r="N638" t="str">
        <f t="shared" si="30"/>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INDEX(products!$A$1:$G$49,MATCH($D639,products!$A$1:$A$49,0),MATCH(I$1,products!$A$1:$G$1,0))</f>
        <v>Exc</v>
      </c>
      <c r="J639" t="str">
        <f>INDEX(products!$A$1:$G$49,MATCH($D639,products!$A$1:$A$49,0),MATCH(J$1,products!$A$1:$G$1,0))</f>
        <v>M</v>
      </c>
      <c r="K639" s="4">
        <f>INDEX(products!$A$1:$G$49,MATCH($D639,products!$A$1:$A$49,0),MATCH(K$1,products!$A$1:$G$1,0))</f>
        <v>2.5</v>
      </c>
      <c r="L639" s="5">
        <f>INDEX(products!$A$1:$G$49,MATCH($D639,products!$A$1:$A$49,0),MATCH(L$1,products!$A$1:$G$1,0))</f>
        <v>31.624999999999996</v>
      </c>
      <c r="M639" s="5">
        <f t="shared" si="28"/>
        <v>31.624999999999996</v>
      </c>
      <c r="N639" t="str">
        <f t="shared" si="30"/>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f>
        <v>Neville Piatto</v>
      </c>
      <c r="G640" s="2" t="str">
        <f>IF(_xlfn.XLOOKUP(C640,customers!$A$1:$A$1001,customers!$C$1:$C$1001,,0)=0,"",_xlfn.XLOOKUP(C640,customers!$A$1:$A$1001,customers!$C$1:$C$1001,,0))</f>
        <v/>
      </c>
      <c r="H640" s="2" t="str">
        <f>_xlfn.XLOOKUP(C640,customers!$A$1:$A$1001,customers!$G$1:$G$1001,,0)</f>
        <v>Ireland</v>
      </c>
      <c r="I640" t="str">
        <f>INDEX(products!$A$1:$G$49,MATCH($D640,products!$A$1:$A$49,0),MATCH(I$1,products!$A$1:$G$1,0))</f>
        <v>Ara</v>
      </c>
      <c r="J640" t="str">
        <f>INDEX(products!$A$1:$G$49,MATCH($D640,products!$A$1:$A$49,0),MATCH(J$1,products!$A$1:$G$1,0))</f>
        <v>M</v>
      </c>
      <c r="K640" s="4">
        <f>INDEX(products!$A$1:$G$49,MATCH($D640,products!$A$1:$A$49,0),MATCH(K$1,products!$A$1:$G$1,0))</f>
        <v>2.5</v>
      </c>
      <c r="L640" s="5">
        <f>INDEX(products!$A$1:$G$49,MATCH($D640,products!$A$1:$A$49,0),MATCH(L$1,products!$A$1:$G$1,0))</f>
        <v>25.874999999999996</v>
      </c>
      <c r="M640" s="5">
        <f t="shared" si="28"/>
        <v>77.624999999999986</v>
      </c>
      <c r="N640" t="str">
        <f t="shared" si="30"/>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INDEX(products!$A$1:$G$49,MATCH($D641,products!$A$1:$A$49,0),MATCH(I$1,products!$A$1:$G$1,0))</f>
        <v>Lib</v>
      </c>
      <c r="J641" t="str">
        <f>INDEX(products!$A$1:$G$49,MATCH($D641,products!$A$1:$A$49,0),MATCH(J$1,products!$A$1:$G$1,0))</f>
        <v>D</v>
      </c>
      <c r="K641" s="4">
        <f>INDEX(products!$A$1:$G$49,MATCH($D641,products!$A$1:$A$49,0),MATCH(K$1,products!$A$1:$G$1,0))</f>
        <v>0.2</v>
      </c>
      <c r="L641" s="5">
        <f>INDEX(products!$A$1:$G$49,MATCH($D641,products!$A$1:$A$49,0),MATCH(L$1,products!$A$1:$G$1,0))</f>
        <v>3.8849999999999998</v>
      </c>
      <c r="M641" s="5">
        <f t="shared" si="28"/>
        <v>3.8849999999999998</v>
      </c>
      <c r="N641" t="str">
        <f t="shared" si="30"/>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INDEX(products!$A$1:$G$49,MATCH($D642,products!$A$1:$A$49,0),MATCH(I$1,products!$A$1:$G$1,0))</f>
        <v>Rob</v>
      </c>
      <c r="J642" t="str">
        <f>INDEX(products!$A$1:$G$49,MATCH($D642,products!$A$1:$A$49,0),MATCH(J$1,products!$A$1:$G$1,0))</f>
        <v>L</v>
      </c>
      <c r="K642" s="4">
        <f>INDEX(products!$A$1:$G$49,MATCH($D642,products!$A$1:$A$49,0),MATCH(K$1,products!$A$1:$G$1,0))</f>
        <v>2.5</v>
      </c>
      <c r="L642" s="5">
        <f>INDEX(products!$A$1:$G$49,MATCH($D642,products!$A$1:$A$49,0),MATCH(L$1,products!$A$1:$G$1,0))</f>
        <v>27.484999999999996</v>
      </c>
      <c r="M642" s="5">
        <f t="shared" si="28"/>
        <v>137.42499999999998</v>
      </c>
      <c r="N642" t="str">
        <f t="shared" si="30"/>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INDEX(products!$A$1:$G$49,MATCH($D643,products!$A$1:$A$49,0),MATCH(I$1,products!$A$1:$G$1,0))</f>
        <v>Rob</v>
      </c>
      <c r="J643" t="str">
        <f>INDEX(products!$A$1:$G$49,MATCH($D643,products!$A$1:$A$49,0),MATCH(J$1,products!$A$1:$G$1,0))</f>
        <v>L</v>
      </c>
      <c r="K643" s="4">
        <f>INDEX(products!$A$1:$G$49,MATCH($D643,products!$A$1:$A$49,0),MATCH(K$1,products!$A$1:$G$1,0))</f>
        <v>1</v>
      </c>
      <c r="L643" s="5">
        <f>INDEX(products!$A$1:$G$49,MATCH($D643,products!$A$1:$A$49,0),MATCH(L$1,products!$A$1:$G$1,0))</f>
        <v>11.95</v>
      </c>
      <c r="M643" s="5">
        <f t="shared" ref="M643:M706" si="31">L643*E643</f>
        <v>35.849999999999994</v>
      </c>
      <c r="N643" t="str">
        <f t="shared" si="30"/>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INDEX(products!$A$1:$G$49,MATCH($D644,products!$A$1:$A$49,0),MATCH(I$1,products!$A$1:$G$1,0))</f>
        <v>Exc</v>
      </c>
      <c r="J644" t="str">
        <f>INDEX(products!$A$1:$G$49,MATCH($D644,products!$A$1:$A$49,0),MATCH(J$1,products!$A$1:$G$1,0))</f>
        <v>M</v>
      </c>
      <c r="K644" s="4">
        <f>INDEX(products!$A$1:$G$49,MATCH($D644,products!$A$1:$A$49,0),MATCH(K$1,products!$A$1:$G$1,0))</f>
        <v>0.2</v>
      </c>
      <c r="L644" s="5">
        <f>INDEX(products!$A$1:$G$49,MATCH($D644,products!$A$1:$A$49,0),MATCH(L$1,products!$A$1:$G$1,0))</f>
        <v>4.125</v>
      </c>
      <c r="M644" s="5">
        <f t="shared" si="31"/>
        <v>8.25</v>
      </c>
      <c r="N644" t="str">
        <f t="shared" si="30"/>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INDEX(products!$A$1:$G$49,MATCH($D645,products!$A$1:$A$49,0),MATCH(I$1,products!$A$1:$G$1,0))</f>
        <v>Exc</v>
      </c>
      <c r="J645" t="str">
        <f>INDEX(products!$A$1:$G$49,MATCH($D645,products!$A$1:$A$49,0),MATCH(J$1,products!$A$1:$G$1,0))</f>
        <v>L</v>
      </c>
      <c r="K645" s="4">
        <f>INDEX(products!$A$1:$G$49,MATCH($D645,products!$A$1:$A$49,0),MATCH(K$1,products!$A$1:$G$1,0))</f>
        <v>2.5</v>
      </c>
      <c r="L645" s="5">
        <f>INDEX(products!$A$1:$G$49,MATCH($D645,products!$A$1:$A$49,0),MATCH(L$1,products!$A$1:$G$1,0))</f>
        <v>34.154999999999994</v>
      </c>
      <c r="M645" s="5">
        <f t="shared" si="31"/>
        <v>102.46499999999997</v>
      </c>
      <c r="N645" t="str">
        <f t="shared" si="30"/>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f>
        <v>Marne Mingey</v>
      </c>
      <c r="G646" s="2" t="str">
        <f>IF(_xlfn.XLOOKUP(C646,customers!$A$1:$A$1001,customers!$C$1:$C$1001,,0)=0,"",_xlfn.XLOOKUP(C646,customers!$A$1:$A$1001,customers!$C$1:$C$1001,,0))</f>
        <v/>
      </c>
      <c r="H646" s="2" t="str">
        <f>_xlfn.XLOOKUP(C646,customers!$A$1:$A$1001,customers!$G$1:$G$1001,,0)</f>
        <v>United States</v>
      </c>
      <c r="I646" t="str">
        <f>INDEX(products!$A$1:$G$49,MATCH($D646,products!$A$1:$A$49,0),MATCH(I$1,products!$A$1:$G$1,0))</f>
        <v>Rob</v>
      </c>
      <c r="J646" t="str">
        <f>INDEX(products!$A$1:$G$49,MATCH($D646,products!$A$1:$A$49,0),MATCH(J$1,products!$A$1:$G$1,0))</f>
        <v>D</v>
      </c>
      <c r="K646" s="4">
        <f>INDEX(products!$A$1:$G$49,MATCH($D646,products!$A$1:$A$49,0),MATCH(K$1,products!$A$1:$G$1,0))</f>
        <v>2.5</v>
      </c>
      <c r="L646" s="5">
        <f>INDEX(products!$A$1:$G$49,MATCH($D646,products!$A$1:$A$49,0),MATCH(L$1,products!$A$1:$G$1,0))</f>
        <v>20.584999999999997</v>
      </c>
      <c r="M646" s="5">
        <f t="shared" si="31"/>
        <v>41.169999999999995</v>
      </c>
      <c r="N646" t="str">
        <f t="shared" si="30"/>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INDEX(products!$A$1:$G$49,MATCH($D647,products!$A$1:$A$49,0),MATCH(I$1,products!$A$1:$G$1,0))</f>
        <v>Ara</v>
      </c>
      <c r="J647" t="str">
        <f>INDEX(products!$A$1:$G$49,MATCH($D647,products!$A$1:$A$49,0),MATCH(J$1,products!$A$1:$G$1,0))</f>
        <v>D</v>
      </c>
      <c r="K647" s="4">
        <f>INDEX(products!$A$1:$G$49,MATCH($D647,products!$A$1:$A$49,0),MATCH(K$1,products!$A$1:$G$1,0))</f>
        <v>2.5</v>
      </c>
      <c r="L647" s="5">
        <f>INDEX(products!$A$1:$G$49,MATCH($D647,products!$A$1:$A$49,0),MATCH(L$1,products!$A$1:$G$1,0))</f>
        <v>22.884999999999998</v>
      </c>
      <c r="M647" s="5">
        <f t="shared" si="31"/>
        <v>68.655000000000001</v>
      </c>
      <c r="N647" t="str">
        <f t="shared" ref="N647:N710" si="33">IF(I647="Rob","Robusta",IF(I647="Ara","Arabica",IF(I647="Exc","Excelsa",IF(I647="Lib","Liberica",""))))</f>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INDEX(products!$A$1:$G$49,MATCH($D648,products!$A$1:$A$49,0),MATCH(I$1,products!$A$1:$G$1,0))</f>
        <v>Ara</v>
      </c>
      <c r="J648" t="str">
        <f>INDEX(products!$A$1:$G$49,MATCH($D648,products!$A$1:$A$49,0),MATCH(J$1,products!$A$1:$G$1,0))</f>
        <v>D</v>
      </c>
      <c r="K648" s="4">
        <f>INDEX(products!$A$1:$G$49,MATCH($D648,products!$A$1:$A$49,0),MATCH(K$1,products!$A$1:$G$1,0))</f>
        <v>1</v>
      </c>
      <c r="L648" s="5">
        <f>INDEX(products!$A$1:$G$49,MATCH($D648,products!$A$1:$A$49,0),MATCH(L$1,products!$A$1:$G$1,0))</f>
        <v>9.9499999999999993</v>
      </c>
      <c r="M648" s="5">
        <f t="shared" si="31"/>
        <v>9.9499999999999993</v>
      </c>
      <c r="N648" t="str">
        <f t="shared" si="33"/>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INDEX(products!$A$1:$G$49,MATCH($D649,products!$A$1:$A$49,0),MATCH(I$1,products!$A$1:$G$1,0))</f>
        <v>Lib</v>
      </c>
      <c r="J649" t="str">
        <f>INDEX(products!$A$1:$G$49,MATCH($D649,products!$A$1:$A$49,0),MATCH(J$1,products!$A$1:$G$1,0))</f>
        <v>L</v>
      </c>
      <c r="K649" s="4">
        <f>INDEX(products!$A$1:$G$49,MATCH($D649,products!$A$1:$A$49,0),MATCH(K$1,products!$A$1:$G$1,0))</f>
        <v>0.5</v>
      </c>
      <c r="L649" s="5">
        <f>INDEX(products!$A$1:$G$49,MATCH($D649,products!$A$1:$A$49,0),MATCH(L$1,products!$A$1:$G$1,0))</f>
        <v>9.51</v>
      </c>
      <c r="M649" s="5">
        <f t="shared" si="31"/>
        <v>28.53</v>
      </c>
      <c r="N649" t="str">
        <f t="shared" si="33"/>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INDEX(products!$A$1:$G$49,MATCH($D650,products!$A$1:$A$49,0),MATCH(I$1,products!$A$1:$G$1,0))</f>
        <v>Rob</v>
      </c>
      <c r="J650" t="str">
        <f>INDEX(products!$A$1:$G$49,MATCH($D650,products!$A$1:$A$49,0),MATCH(J$1,products!$A$1:$G$1,0))</f>
        <v>D</v>
      </c>
      <c r="K650" s="4">
        <f>INDEX(products!$A$1:$G$49,MATCH($D650,products!$A$1:$A$49,0),MATCH(K$1,products!$A$1:$G$1,0))</f>
        <v>0.2</v>
      </c>
      <c r="L650" s="5">
        <f>INDEX(products!$A$1:$G$49,MATCH($D650,products!$A$1:$A$49,0),MATCH(L$1,products!$A$1:$G$1,0))</f>
        <v>2.6849999999999996</v>
      </c>
      <c r="M650" s="5">
        <f t="shared" si="31"/>
        <v>16.11</v>
      </c>
      <c r="N650" t="str">
        <f t="shared" si="33"/>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INDEX(products!$A$1:$G$49,MATCH($D651,products!$A$1:$A$49,0),MATCH(I$1,products!$A$1:$G$1,0))</f>
        <v>Lib</v>
      </c>
      <c r="J651" t="str">
        <f>INDEX(products!$A$1:$G$49,MATCH($D651,products!$A$1:$A$49,0),MATCH(J$1,products!$A$1:$G$1,0))</f>
        <v>L</v>
      </c>
      <c r="K651" s="4">
        <f>INDEX(products!$A$1:$G$49,MATCH($D651,products!$A$1:$A$49,0),MATCH(K$1,products!$A$1:$G$1,0))</f>
        <v>1</v>
      </c>
      <c r="L651" s="5">
        <f>INDEX(products!$A$1:$G$49,MATCH($D651,products!$A$1:$A$49,0),MATCH(L$1,products!$A$1:$G$1,0))</f>
        <v>15.85</v>
      </c>
      <c r="M651" s="5">
        <f t="shared" si="31"/>
        <v>95.1</v>
      </c>
      <c r="N651" t="str">
        <f t="shared" si="33"/>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INDEX(products!$A$1:$G$49,MATCH($D652,products!$A$1:$A$49,0),MATCH(I$1,products!$A$1:$G$1,0))</f>
        <v>Rob</v>
      </c>
      <c r="J652" t="str">
        <f>INDEX(products!$A$1:$G$49,MATCH($D652,products!$A$1:$A$49,0),MATCH(J$1,products!$A$1:$G$1,0))</f>
        <v>D</v>
      </c>
      <c r="K652" s="4">
        <f>INDEX(products!$A$1:$G$49,MATCH($D652,products!$A$1:$A$49,0),MATCH(K$1,products!$A$1:$G$1,0))</f>
        <v>0.5</v>
      </c>
      <c r="L652" s="5">
        <f>INDEX(products!$A$1:$G$49,MATCH($D652,products!$A$1:$A$49,0),MATCH(L$1,products!$A$1:$G$1,0))</f>
        <v>5.3699999999999992</v>
      </c>
      <c r="M652" s="5">
        <f t="shared" si="31"/>
        <v>5.3699999999999992</v>
      </c>
      <c r="N652" t="str">
        <f t="shared" si="33"/>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f>
        <v>Giana Tonnesen</v>
      </c>
      <c r="G653" s="2" t="str">
        <f>IF(_xlfn.XLOOKUP(C653,customers!$A$1:$A$1001,customers!$C$1:$C$1001,,0)=0,"",_xlfn.XLOOKUP(C653,customers!$A$1:$A$1001,customers!$C$1:$C$1001,,0))</f>
        <v/>
      </c>
      <c r="H653" s="2" t="str">
        <f>_xlfn.XLOOKUP(C653,customers!$A$1:$A$1001,customers!$G$1:$G$1001,,0)</f>
        <v>United States</v>
      </c>
      <c r="I653" t="str">
        <f>INDEX(products!$A$1:$G$49,MATCH($D653,products!$A$1:$A$49,0),MATCH(I$1,products!$A$1:$G$1,0))</f>
        <v>Rob</v>
      </c>
      <c r="J653" t="str">
        <f>INDEX(products!$A$1:$G$49,MATCH($D653,products!$A$1:$A$49,0),MATCH(J$1,products!$A$1:$G$1,0))</f>
        <v>L</v>
      </c>
      <c r="K653" s="4">
        <f>INDEX(products!$A$1:$G$49,MATCH($D653,products!$A$1:$A$49,0),MATCH(K$1,products!$A$1:$G$1,0))</f>
        <v>1</v>
      </c>
      <c r="L653" s="5">
        <f>INDEX(products!$A$1:$G$49,MATCH($D653,products!$A$1:$A$49,0),MATCH(L$1,products!$A$1:$G$1,0))</f>
        <v>11.95</v>
      </c>
      <c r="M653" s="5">
        <f t="shared" si="31"/>
        <v>47.8</v>
      </c>
      <c r="N653" t="str">
        <f t="shared" si="33"/>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INDEX(products!$A$1:$G$49,MATCH($D654,products!$A$1:$A$49,0),MATCH(I$1,products!$A$1:$G$1,0))</f>
        <v>Lib</v>
      </c>
      <c r="J654" t="str">
        <f>INDEX(products!$A$1:$G$49,MATCH($D654,products!$A$1:$A$49,0),MATCH(J$1,products!$A$1:$G$1,0))</f>
        <v>L</v>
      </c>
      <c r="K654" s="4">
        <f>INDEX(products!$A$1:$G$49,MATCH($D654,products!$A$1:$A$49,0),MATCH(K$1,products!$A$1:$G$1,0))</f>
        <v>1</v>
      </c>
      <c r="L654" s="5">
        <f>INDEX(products!$A$1:$G$49,MATCH($D654,products!$A$1:$A$49,0),MATCH(L$1,products!$A$1:$G$1,0))</f>
        <v>15.85</v>
      </c>
      <c r="M654" s="5">
        <f t="shared" si="31"/>
        <v>63.4</v>
      </c>
      <c r="N654" t="str">
        <f t="shared" si="33"/>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INDEX(products!$A$1:$G$49,MATCH($D655,products!$A$1:$A$49,0),MATCH(I$1,products!$A$1:$G$1,0))</f>
        <v>Ara</v>
      </c>
      <c r="J655" t="str">
        <f>INDEX(products!$A$1:$G$49,MATCH($D655,products!$A$1:$A$49,0),MATCH(J$1,products!$A$1:$G$1,0))</f>
        <v>M</v>
      </c>
      <c r="K655" s="4">
        <f>INDEX(products!$A$1:$G$49,MATCH($D655,products!$A$1:$A$49,0),MATCH(K$1,products!$A$1:$G$1,0))</f>
        <v>2.5</v>
      </c>
      <c r="L655" s="5">
        <f>INDEX(products!$A$1:$G$49,MATCH($D655,products!$A$1:$A$49,0),MATCH(L$1,products!$A$1:$G$1,0))</f>
        <v>25.874999999999996</v>
      </c>
      <c r="M655" s="5">
        <f t="shared" si="31"/>
        <v>103.49999999999999</v>
      </c>
      <c r="N655" t="str">
        <f t="shared" si="33"/>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INDEX(products!$A$1:$G$49,MATCH($D656,products!$A$1:$A$49,0),MATCH(I$1,products!$A$1:$G$1,0))</f>
        <v>Ara</v>
      </c>
      <c r="J656" t="str">
        <f>INDEX(products!$A$1:$G$49,MATCH($D656,products!$A$1:$A$49,0),MATCH(J$1,products!$A$1:$G$1,0))</f>
        <v>D</v>
      </c>
      <c r="K656" s="4">
        <f>INDEX(products!$A$1:$G$49,MATCH($D656,products!$A$1:$A$49,0),MATCH(K$1,products!$A$1:$G$1,0))</f>
        <v>2.5</v>
      </c>
      <c r="L656" s="5">
        <f>INDEX(products!$A$1:$G$49,MATCH($D656,products!$A$1:$A$49,0),MATCH(L$1,products!$A$1:$G$1,0))</f>
        <v>22.884999999999998</v>
      </c>
      <c r="M656" s="5">
        <f t="shared" si="31"/>
        <v>68.655000000000001</v>
      </c>
      <c r="N656" t="str">
        <f t="shared" si="33"/>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INDEX(products!$A$1:$G$49,MATCH($D657,products!$A$1:$A$49,0),MATCH(I$1,products!$A$1:$G$1,0))</f>
        <v>Rob</v>
      </c>
      <c r="J657" t="str">
        <f>INDEX(products!$A$1:$G$49,MATCH($D657,products!$A$1:$A$49,0),MATCH(J$1,products!$A$1:$G$1,0))</f>
        <v>M</v>
      </c>
      <c r="K657" s="4">
        <f>INDEX(products!$A$1:$G$49,MATCH($D657,products!$A$1:$A$49,0),MATCH(K$1,products!$A$1:$G$1,0))</f>
        <v>2.5</v>
      </c>
      <c r="L657" s="5">
        <f>INDEX(products!$A$1:$G$49,MATCH($D657,products!$A$1:$A$49,0),MATCH(L$1,products!$A$1:$G$1,0))</f>
        <v>22.884999999999998</v>
      </c>
      <c r="M657" s="5">
        <f t="shared" si="31"/>
        <v>45.769999999999996</v>
      </c>
      <c r="N657" t="str">
        <f t="shared" si="33"/>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INDEX(products!$A$1:$G$49,MATCH($D658,products!$A$1:$A$49,0),MATCH(I$1,products!$A$1:$G$1,0))</f>
        <v>Lib</v>
      </c>
      <c r="J658" t="str">
        <f>INDEX(products!$A$1:$G$49,MATCH($D658,products!$A$1:$A$49,0),MATCH(J$1,products!$A$1:$G$1,0))</f>
        <v>D</v>
      </c>
      <c r="K658" s="4">
        <f>INDEX(products!$A$1:$G$49,MATCH($D658,products!$A$1:$A$49,0),MATCH(K$1,products!$A$1:$G$1,0))</f>
        <v>1</v>
      </c>
      <c r="L658" s="5">
        <f>INDEX(products!$A$1:$G$49,MATCH($D658,products!$A$1:$A$49,0),MATCH(L$1,products!$A$1:$G$1,0))</f>
        <v>12.95</v>
      </c>
      <c r="M658" s="5">
        <f t="shared" si="31"/>
        <v>51.8</v>
      </c>
      <c r="N658" t="str">
        <f t="shared" si="33"/>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f>
        <v>Wren Place</v>
      </c>
      <c r="G659" s="2" t="str">
        <f>IF(_xlfn.XLOOKUP(C659,customers!$A$1:$A$1001,customers!$C$1:$C$1001,,0)=0,"",_xlfn.XLOOKUP(C659,customers!$A$1:$A$1001,customers!$C$1:$C$1001,,0))</f>
        <v>wplacei9@wsj.com</v>
      </c>
      <c r="H659" s="2" t="str">
        <f>_xlfn.XLOOKUP(C659,customers!$A$1:$A$1001,customers!$G$1:$G$1001,,0)</f>
        <v>United States</v>
      </c>
      <c r="I659" t="str">
        <f>INDEX(products!$A$1:$G$49,MATCH($D659,products!$A$1:$A$49,0),MATCH(I$1,products!$A$1:$G$1,0))</f>
        <v>Ara</v>
      </c>
      <c r="J659" t="str">
        <f>INDEX(products!$A$1:$G$49,MATCH($D659,products!$A$1:$A$49,0),MATCH(J$1,products!$A$1:$G$1,0))</f>
        <v>M</v>
      </c>
      <c r="K659" s="4">
        <f>INDEX(products!$A$1:$G$49,MATCH($D659,products!$A$1:$A$49,0),MATCH(K$1,products!$A$1:$G$1,0))</f>
        <v>0.5</v>
      </c>
      <c r="L659" s="5">
        <f>INDEX(products!$A$1:$G$49,MATCH($D659,products!$A$1:$A$49,0),MATCH(L$1,products!$A$1:$G$1,0))</f>
        <v>6.75</v>
      </c>
      <c r="M659" s="5">
        <f t="shared" si="31"/>
        <v>13.5</v>
      </c>
      <c r="N659" t="str">
        <f t="shared" si="33"/>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INDEX(products!$A$1:$G$49,MATCH($D660,products!$A$1:$A$49,0),MATCH(I$1,products!$A$1:$G$1,0))</f>
        <v>Exc</v>
      </c>
      <c r="J660" t="str">
        <f>INDEX(products!$A$1:$G$49,MATCH($D660,products!$A$1:$A$49,0),MATCH(J$1,products!$A$1:$G$1,0))</f>
        <v>M</v>
      </c>
      <c r="K660" s="4">
        <f>INDEX(products!$A$1:$G$49,MATCH($D660,products!$A$1:$A$49,0),MATCH(K$1,products!$A$1:$G$1,0))</f>
        <v>0.5</v>
      </c>
      <c r="L660" s="5">
        <f>INDEX(products!$A$1:$G$49,MATCH($D660,products!$A$1:$A$49,0),MATCH(L$1,products!$A$1:$G$1,0))</f>
        <v>8.25</v>
      </c>
      <c r="M660" s="5">
        <f t="shared" si="31"/>
        <v>24.75</v>
      </c>
      <c r="N660" t="str">
        <f t="shared" si="33"/>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INDEX(products!$A$1:$G$49,MATCH($D661,products!$A$1:$A$49,0),MATCH(I$1,products!$A$1:$G$1,0))</f>
        <v>Ara</v>
      </c>
      <c r="J661" t="str">
        <f>INDEX(products!$A$1:$G$49,MATCH($D661,products!$A$1:$A$49,0),MATCH(J$1,products!$A$1:$G$1,0))</f>
        <v>D</v>
      </c>
      <c r="K661" s="4">
        <f>INDEX(products!$A$1:$G$49,MATCH($D661,products!$A$1:$A$49,0),MATCH(K$1,products!$A$1:$G$1,0))</f>
        <v>2.5</v>
      </c>
      <c r="L661" s="5">
        <f>INDEX(products!$A$1:$G$49,MATCH($D661,products!$A$1:$A$49,0),MATCH(L$1,products!$A$1:$G$1,0))</f>
        <v>22.884999999999998</v>
      </c>
      <c r="M661" s="5">
        <f t="shared" si="31"/>
        <v>45.769999999999996</v>
      </c>
      <c r="N661" t="str">
        <f t="shared" si="33"/>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INDEX(products!$A$1:$G$49,MATCH($D662,products!$A$1:$A$49,0),MATCH(I$1,products!$A$1:$G$1,0))</f>
        <v>Exc</v>
      </c>
      <c r="J662" t="str">
        <f>INDEX(products!$A$1:$G$49,MATCH($D662,products!$A$1:$A$49,0),MATCH(J$1,products!$A$1:$G$1,0))</f>
        <v>L</v>
      </c>
      <c r="K662" s="4">
        <f>INDEX(products!$A$1:$G$49,MATCH($D662,products!$A$1:$A$49,0),MATCH(K$1,products!$A$1:$G$1,0))</f>
        <v>0.5</v>
      </c>
      <c r="L662" s="5">
        <f>INDEX(products!$A$1:$G$49,MATCH($D662,products!$A$1:$A$49,0),MATCH(L$1,products!$A$1:$G$1,0))</f>
        <v>8.91</v>
      </c>
      <c r="M662" s="5">
        <f t="shared" si="31"/>
        <v>53.46</v>
      </c>
      <c r="N662" t="str">
        <f t="shared" si="33"/>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INDEX(products!$A$1:$G$49,MATCH($D663,products!$A$1:$A$49,0),MATCH(I$1,products!$A$1:$G$1,0))</f>
        <v>Ara</v>
      </c>
      <c r="J663" t="str">
        <f>INDEX(products!$A$1:$G$49,MATCH($D663,products!$A$1:$A$49,0),MATCH(J$1,products!$A$1:$G$1,0))</f>
        <v>M</v>
      </c>
      <c r="K663" s="4">
        <f>INDEX(products!$A$1:$G$49,MATCH($D663,products!$A$1:$A$49,0),MATCH(K$1,products!$A$1:$G$1,0))</f>
        <v>0.2</v>
      </c>
      <c r="L663" s="5">
        <f>INDEX(products!$A$1:$G$49,MATCH($D663,products!$A$1:$A$49,0),MATCH(L$1,products!$A$1:$G$1,0))</f>
        <v>3.375</v>
      </c>
      <c r="M663" s="5">
        <f t="shared" si="31"/>
        <v>20.25</v>
      </c>
      <c r="N663" t="str">
        <f t="shared" si="33"/>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INDEX(products!$A$1:$G$49,MATCH($D664,products!$A$1:$A$49,0),MATCH(I$1,products!$A$1:$G$1,0))</f>
        <v>Lib</v>
      </c>
      <c r="J664" t="str">
        <f>INDEX(products!$A$1:$G$49,MATCH($D664,products!$A$1:$A$49,0),MATCH(J$1,products!$A$1:$G$1,0))</f>
        <v>D</v>
      </c>
      <c r="K664" s="4">
        <f>INDEX(products!$A$1:$G$49,MATCH($D664,products!$A$1:$A$49,0),MATCH(K$1,products!$A$1:$G$1,0))</f>
        <v>2.5</v>
      </c>
      <c r="L664" s="5">
        <f>INDEX(products!$A$1:$G$49,MATCH($D664,products!$A$1:$A$49,0),MATCH(L$1,products!$A$1:$G$1,0))</f>
        <v>29.784999999999997</v>
      </c>
      <c r="M664" s="5">
        <f t="shared" si="31"/>
        <v>148.92499999999998</v>
      </c>
      <c r="N664" t="str">
        <f t="shared" si="33"/>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INDEX(products!$A$1:$G$49,MATCH($D665,products!$A$1:$A$49,0),MATCH(I$1,products!$A$1:$G$1,0))</f>
        <v>Ara</v>
      </c>
      <c r="J665" t="str">
        <f>INDEX(products!$A$1:$G$49,MATCH($D665,products!$A$1:$A$49,0),MATCH(J$1,products!$A$1:$G$1,0))</f>
        <v>M</v>
      </c>
      <c r="K665" s="4">
        <f>INDEX(products!$A$1:$G$49,MATCH($D665,products!$A$1:$A$49,0),MATCH(K$1,products!$A$1:$G$1,0))</f>
        <v>1</v>
      </c>
      <c r="L665" s="5">
        <f>INDEX(products!$A$1:$G$49,MATCH($D665,products!$A$1:$A$49,0),MATCH(L$1,products!$A$1:$G$1,0))</f>
        <v>11.25</v>
      </c>
      <c r="M665" s="5">
        <f t="shared" si="31"/>
        <v>67.5</v>
      </c>
      <c r="N665" t="str">
        <f t="shared" si="33"/>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INDEX(products!$A$1:$G$49,MATCH($D666,products!$A$1:$A$49,0),MATCH(I$1,products!$A$1:$G$1,0))</f>
        <v>Exc</v>
      </c>
      <c r="J666" t="str">
        <f>INDEX(products!$A$1:$G$49,MATCH($D666,products!$A$1:$A$49,0),MATCH(J$1,products!$A$1:$G$1,0))</f>
        <v>D</v>
      </c>
      <c r="K666" s="4">
        <f>INDEX(products!$A$1:$G$49,MATCH($D666,products!$A$1:$A$49,0),MATCH(K$1,products!$A$1:$G$1,0))</f>
        <v>1</v>
      </c>
      <c r="L666" s="5">
        <f>INDEX(products!$A$1:$G$49,MATCH($D666,products!$A$1:$A$49,0),MATCH(L$1,products!$A$1:$G$1,0))</f>
        <v>12.15</v>
      </c>
      <c r="M666" s="5">
        <f t="shared" si="31"/>
        <v>72.900000000000006</v>
      </c>
      <c r="N666" t="str">
        <f t="shared" si="33"/>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INDEX(products!$A$1:$G$49,MATCH($D667,products!$A$1:$A$49,0),MATCH(I$1,products!$A$1:$G$1,0))</f>
        <v>Lib</v>
      </c>
      <c r="J667" t="str">
        <f>INDEX(products!$A$1:$G$49,MATCH($D667,products!$A$1:$A$49,0),MATCH(J$1,products!$A$1:$G$1,0))</f>
        <v>D</v>
      </c>
      <c r="K667" s="4">
        <f>INDEX(products!$A$1:$G$49,MATCH($D667,products!$A$1:$A$49,0),MATCH(K$1,products!$A$1:$G$1,0))</f>
        <v>0.2</v>
      </c>
      <c r="L667" s="5">
        <f>INDEX(products!$A$1:$G$49,MATCH($D667,products!$A$1:$A$49,0),MATCH(L$1,products!$A$1:$G$1,0))</f>
        <v>3.8849999999999998</v>
      </c>
      <c r="M667" s="5">
        <f t="shared" si="31"/>
        <v>7.77</v>
      </c>
      <c r="N667" t="str">
        <f t="shared" si="33"/>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INDEX(products!$A$1:$G$49,MATCH($D668,products!$A$1:$A$49,0),MATCH(I$1,products!$A$1:$G$1,0))</f>
        <v>Ara</v>
      </c>
      <c r="J668" t="str">
        <f>INDEX(products!$A$1:$G$49,MATCH($D668,products!$A$1:$A$49,0),MATCH(J$1,products!$A$1:$G$1,0))</f>
        <v>D</v>
      </c>
      <c r="K668" s="4">
        <f>INDEX(products!$A$1:$G$49,MATCH($D668,products!$A$1:$A$49,0),MATCH(K$1,products!$A$1:$G$1,0))</f>
        <v>2.5</v>
      </c>
      <c r="L668" s="5">
        <f>INDEX(products!$A$1:$G$49,MATCH($D668,products!$A$1:$A$49,0),MATCH(L$1,products!$A$1:$G$1,0))</f>
        <v>22.884999999999998</v>
      </c>
      <c r="M668" s="5">
        <f t="shared" si="31"/>
        <v>91.539999999999992</v>
      </c>
      <c r="N668" t="str">
        <f t="shared" si="33"/>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INDEX(products!$A$1:$G$49,MATCH($D669,products!$A$1:$A$49,0),MATCH(I$1,products!$A$1:$G$1,0))</f>
        <v>Ara</v>
      </c>
      <c r="J669" t="str">
        <f>INDEX(products!$A$1:$G$49,MATCH($D669,products!$A$1:$A$49,0),MATCH(J$1,products!$A$1:$G$1,0))</f>
        <v>D</v>
      </c>
      <c r="K669" s="4">
        <f>INDEX(products!$A$1:$G$49,MATCH($D669,products!$A$1:$A$49,0),MATCH(K$1,products!$A$1:$G$1,0))</f>
        <v>1</v>
      </c>
      <c r="L669" s="5">
        <f>INDEX(products!$A$1:$G$49,MATCH($D669,products!$A$1:$A$49,0),MATCH(L$1,products!$A$1:$G$1,0))</f>
        <v>9.9499999999999993</v>
      </c>
      <c r="M669" s="5">
        <f t="shared" si="31"/>
        <v>59.699999999999996</v>
      </c>
      <c r="N669" t="str">
        <f t="shared" si="33"/>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INDEX(products!$A$1:$G$49,MATCH($D670,products!$A$1:$A$49,0),MATCH(I$1,products!$A$1:$G$1,0))</f>
        <v>Rob</v>
      </c>
      <c r="J670" t="str">
        <f>INDEX(products!$A$1:$G$49,MATCH($D670,products!$A$1:$A$49,0),MATCH(J$1,products!$A$1:$G$1,0))</f>
        <v>L</v>
      </c>
      <c r="K670" s="4">
        <f>INDEX(products!$A$1:$G$49,MATCH($D670,products!$A$1:$A$49,0),MATCH(K$1,products!$A$1:$G$1,0))</f>
        <v>2.5</v>
      </c>
      <c r="L670" s="5">
        <f>INDEX(products!$A$1:$G$49,MATCH($D670,products!$A$1:$A$49,0),MATCH(L$1,products!$A$1:$G$1,0))</f>
        <v>27.484999999999996</v>
      </c>
      <c r="M670" s="5">
        <f t="shared" si="31"/>
        <v>137.42499999999998</v>
      </c>
      <c r="N670" t="str">
        <f t="shared" si="33"/>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INDEX(products!$A$1:$G$49,MATCH($D671,products!$A$1:$A$49,0),MATCH(I$1,products!$A$1:$G$1,0))</f>
        <v>Lib</v>
      </c>
      <c r="J671" t="str">
        <f>INDEX(products!$A$1:$G$49,MATCH($D671,products!$A$1:$A$49,0),MATCH(J$1,products!$A$1:$G$1,0))</f>
        <v>M</v>
      </c>
      <c r="K671" s="4">
        <f>INDEX(products!$A$1:$G$49,MATCH($D671,products!$A$1:$A$49,0),MATCH(K$1,products!$A$1:$G$1,0))</f>
        <v>2.5</v>
      </c>
      <c r="L671" s="5">
        <f>INDEX(products!$A$1:$G$49,MATCH($D671,products!$A$1:$A$49,0),MATCH(L$1,products!$A$1:$G$1,0))</f>
        <v>33.464999999999996</v>
      </c>
      <c r="M671" s="5">
        <f t="shared" si="31"/>
        <v>66.929999999999993</v>
      </c>
      <c r="N671" t="str">
        <f t="shared" si="33"/>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INDEX(products!$A$1:$G$49,MATCH($D672,products!$A$1:$A$49,0),MATCH(I$1,products!$A$1:$G$1,0))</f>
        <v>Lib</v>
      </c>
      <c r="J672" t="str">
        <f>INDEX(products!$A$1:$G$49,MATCH($D672,products!$A$1:$A$49,0),MATCH(J$1,products!$A$1:$G$1,0))</f>
        <v>M</v>
      </c>
      <c r="K672" s="4">
        <f>INDEX(products!$A$1:$G$49,MATCH($D672,products!$A$1:$A$49,0),MATCH(K$1,products!$A$1:$G$1,0))</f>
        <v>0.2</v>
      </c>
      <c r="L672" s="5">
        <f>INDEX(products!$A$1:$G$49,MATCH($D672,products!$A$1:$A$49,0),MATCH(L$1,products!$A$1:$G$1,0))</f>
        <v>4.3650000000000002</v>
      </c>
      <c r="M672" s="5">
        <f t="shared" si="31"/>
        <v>13.095000000000001</v>
      </c>
      <c r="N672" t="str">
        <f t="shared" si="33"/>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INDEX(products!$A$1:$G$49,MATCH($D673,products!$A$1:$A$49,0),MATCH(I$1,products!$A$1:$G$1,0))</f>
        <v>Rob</v>
      </c>
      <c r="J673" t="str">
        <f>INDEX(products!$A$1:$G$49,MATCH($D673,products!$A$1:$A$49,0),MATCH(J$1,products!$A$1:$G$1,0))</f>
        <v>L</v>
      </c>
      <c r="K673" s="4">
        <f>INDEX(products!$A$1:$G$49,MATCH($D673,products!$A$1:$A$49,0),MATCH(K$1,products!$A$1:$G$1,0))</f>
        <v>1</v>
      </c>
      <c r="L673" s="5">
        <f>INDEX(products!$A$1:$G$49,MATCH($D673,products!$A$1:$A$49,0),MATCH(L$1,products!$A$1:$G$1,0))</f>
        <v>11.95</v>
      </c>
      <c r="M673" s="5">
        <f t="shared" si="31"/>
        <v>59.75</v>
      </c>
      <c r="N673" t="str">
        <f t="shared" si="33"/>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INDEX(products!$A$1:$G$49,MATCH($D674,products!$A$1:$A$49,0),MATCH(I$1,products!$A$1:$G$1,0))</f>
        <v>Lib</v>
      </c>
      <c r="J674" t="str">
        <f>INDEX(products!$A$1:$G$49,MATCH($D674,products!$A$1:$A$49,0),MATCH(J$1,products!$A$1:$G$1,0))</f>
        <v>M</v>
      </c>
      <c r="K674" s="4">
        <f>INDEX(products!$A$1:$G$49,MATCH($D674,products!$A$1:$A$49,0),MATCH(K$1,products!$A$1:$G$1,0))</f>
        <v>0.5</v>
      </c>
      <c r="L674" s="5">
        <f>INDEX(products!$A$1:$G$49,MATCH($D674,products!$A$1:$A$49,0),MATCH(L$1,products!$A$1:$G$1,0))</f>
        <v>8.73</v>
      </c>
      <c r="M674" s="5">
        <f t="shared" si="31"/>
        <v>43.650000000000006</v>
      </c>
      <c r="N674" t="str">
        <f t="shared" si="33"/>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INDEX(products!$A$1:$G$49,MATCH($D675,products!$A$1:$A$49,0),MATCH(I$1,products!$A$1:$G$1,0))</f>
        <v>Exc</v>
      </c>
      <c r="J675" t="str">
        <f>INDEX(products!$A$1:$G$49,MATCH($D675,products!$A$1:$A$49,0),MATCH(J$1,products!$A$1:$G$1,0))</f>
        <v>M</v>
      </c>
      <c r="K675" s="4">
        <f>INDEX(products!$A$1:$G$49,MATCH($D675,products!$A$1:$A$49,0),MATCH(K$1,products!$A$1:$G$1,0))</f>
        <v>1</v>
      </c>
      <c r="L675" s="5">
        <f>INDEX(products!$A$1:$G$49,MATCH($D675,products!$A$1:$A$49,0),MATCH(L$1,products!$A$1:$G$1,0))</f>
        <v>13.75</v>
      </c>
      <c r="M675" s="5">
        <f t="shared" si="31"/>
        <v>82.5</v>
      </c>
      <c r="N675" t="str">
        <f t="shared" si="33"/>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INDEX(products!$A$1:$G$49,MATCH($D676,products!$A$1:$A$49,0),MATCH(I$1,products!$A$1:$G$1,0))</f>
        <v>Ara</v>
      </c>
      <c r="J676" t="str">
        <f>INDEX(products!$A$1:$G$49,MATCH($D676,products!$A$1:$A$49,0),MATCH(J$1,products!$A$1:$G$1,0))</f>
        <v>L</v>
      </c>
      <c r="K676" s="4">
        <f>INDEX(products!$A$1:$G$49,MATCH($D676,products!$A$1:$A$49,0),MATCH(K$1,products!$A$1:$G$1,0))</f>
        <v>2.5</v>
      </c>
      <c r="L676" s="5">
        <f>INDEX(products!$A$1:$G$49,MATCH($D676,products!$A$1:$A$49,0),MATCH(L$1,products!$A$1:$G$1,0))</f>
        <v>29.784999999999997</v>
      </c>
      <c r="M676" s="5">
        <f t="shared" si="31"/>
        <v>178.70999999999998</v>
      </c>
      <c r="N676" t="str">
        <f t="shared" si="33"/>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f>
        <v>Terri Lyford</v>
      </c>
      <c r="G677" s="2" t="str">
        <f>IF(_xlfn.XLOOKUP(C677,customers!$A$1:$A$1001,customers!$C$1:$C$1001,,0)=0,"",_xlfn.XLOOKUP(C677,customers!$A$1:$A$1001,customers!$C$1:$C$1001,,0))</f>
        <v/>
      </c>
      <c r="H677" s="2" t="str">
        <f>_xlfn.XLOOKUP(C677,customers!$A$1:$A$1001,customers!$G$1:$G$1001,,0)</f>
        <v>United States</v>
      </c>
      <c r="I677" t="str">
        <f>INDEX(products!$A$1:$G$49,MATCH($D677,products!$A$1:$A$49,0),MATCH(I$1,products!$A$1:$G$1,0))</f>
        <v>Lib</v>
      </c>
      <c r="J677" t="str">
        <f>INDEX(products!$A$1:$G$49,MATCH($D677,products!$A$1:$A$49,0),MATCH(J$1,products!$A$1:$G$1,0))</f>
        <v>D</v>
      </c>
      <c r="K677" s="4">
        <f>INDEX(products!$A$1:$G$49,MATCH($D677,products!$A$1:$A$49,0),MATCH(K$1,products!$A$1:$G$1,0))</f>
        <v>2.5</v>
      </c>
      <c r="L677" s="5">
        <f>INDEX(products!$A$1:$G$49,MATCH($D677,products!$A$1:$A$49,0),MATCH(L$1,products!$A$1:$G$1,0))</f>
        <v>29.784999999999997</v>
      </c>
      <c r="M677" s="5">
        <f t="shared" si="31"/>
        <v>119.13999999999999</v>
      </c>
      <c r="N677" t="str">
        <f t="shared" si="33"/>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f>
        <v>Gabey Cogan</v>
      </c>
      <c r="G678" s="2" t="str">
        <f>IF(_xlfn.XLOOKUP(C678,customers!$A$1:$A$1001,customers!$C$1:$C$1001,,0)=0,"",_xlfn.XLOOKUP(C678,customers!$A$1:$A$1001,customers!$C$1:$C$1001,,0))</f>
        <v/>
      </c>
      <c r="H678" s="2" t="str">
        <f>_xlfn.XLOOKUP(C678,customers!$A$1:$A$1001,customers!$G$1:$G$1001,,0)</f>
        <v>United States</v>
      </c>
      <c r="I678" t="str">
        <f>INDEX(products!$A$1:$G$49,MATCH($D678,products!$A$1:$A$49,0),MATCH(I$1,products!$A$1:$G$1,0))</f>
        <v>Lib</v>
      </c>
      <c r="J678" t="str">
        <f>INDEX(products!$A$1:$G$49,MATCH($D678,products!$A$1:$A$49,0),MATCH(J$1,products!$A$1:$G$1,0))</f>
        <v>L</v>
      </c>
      <c r="K678" s="4">
        <f>INDEX(products!$A$1:$G$49,MATCH($D678,products!$A$1:$A$49,0),MATCH(K$1,products!$A$1:$G$1,0))</f>
        <v>0.5</v>
      </c>
      <c r="L678" s="5">
        <f>INDEX(products!$A$1:$G$49,MATCH($D678,products!$A$1:$A$49,0),MATCH(L$1,products!$A$1:$G$1,0))</f>
        <v>9.51</v>
      </c>
      <c r="M678" s="5">
        <f t="shared" si="31"/>
        <v>47.55</v>
      </c>
      <c r="N678" t="str">
        <f t="shared" si="33"/>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INDEX(products!$A$1:$G$49,MATCH($D679,products!$A$1:$A$49,0),MATCH(I$1,products!$A$1:$G$1,0))</f>
        <v>Lib</v>
      </c>
      <c r="J679" t="str">
        <f>INDEX(products!$A$1:$G$49,MATCH($D679,products!$A$1:$A$49,0),MATCH(J$1,products!$A$1:$G$1,0))</f>
        <v>M</v>
      </c>
      <c r="K679" s="4">
        <f>INDEX(products!$A$1:$G$49,MATCH($D679,products!$A$1:$A$49,0),MATCH(K$1,products!$A$1:$G$1,0))</f>
        <v>0.5</v>
      </c>
      <c r="L679" s="5">
        <f>INDEX(products!$A$1:$G$49,MATCH($D679,products!$A$1:$A$49,0),MATCH(L$1,products!$A$1:$G$1,0))</f>
        <v>8.73</v>
      </c>
      <c r="M679" s="5">
        <f t="shared" si="31"/>
        <v>43.650000000000006</v>
      </c>
      <c r="N679" t="str">
        <f t="shared" si="33"/>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INDEX(products!$A$1:$G$49,MATCH($D680,products!$A$1:$A$49,0),MATCH(I$1,products!$A$1:$G$1,0))</f>
        <v>Ara</v>
      </c>
      <c r="J680" t="str">
        <f>INDEX(products!$A$1:$G$49,MATCH($D680,products!$A$1:$A$49,0),MATCH(J$1,products!$A$1:$G$1,0))</f>
        <v>L</v>
      </c>
      <c r="K680" s="4">
        <f>INDEX(products!$A$1:$G$49,MATCH($D680,products!$A$1:$A$49,0),MATCH(K$1,products!$A$1:$G$1,0))</f>
        <v>2.5</v>
      </c>
      <c r="L680" s="5">
        <f>INDEX(products!$A$1:$G$49,MATCH($D680,products!$A$1:$A$49,0),MATCH(L$1,products!$A$1:$G$1,0))</f>
        <v>29.784999999999997</v>
      </c>
      <c r="M680" s="5">
        <f t="shared" si="31"/>
        <v>178.70999999999998</v>
      </c>
      <c r="N680" t="str">
        <f t="shared" si="33"/>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INDEX(products!$A$1:$G$49,MATCH($D681,products!$A$1:$A$49,0),MATCH(I$1,products!$A$1:$G$1,0))</f>
        <v>Rob</v>
      </c>
      <c r="J681" t="str">
        <f>INDEX(products!$A$1:$G$49,MATCH($D681,products!$A$1:$A$49,0),MATCH(J$1,products!$A$1:$G$1,0))</f>
        <v>L</v>
      </c>
      <c r="K681" s="4">
        <f>INDEX(products!$A$1:$G$49,MATCH($D681,products!$A$1:$A$49,0),MATCH(K$1,products!$A$1:$G$1,0))</f>
        <v>2.5</v>
      </c>
      <c r="L681" s="5">
        <f>INDEX(products!$A$1:$G$49,MATCH($D681,products!$A$1:$A$49,0),MATCH(L$1,products!$A$1:$G$1,0))</f>
        <v>27.484999999999996</v>
      </c>
      <c r="M681" s="5">
        <f t="shared" si="31"/>
        <v>27.484999999999996</v>
      </c>
      <c r="N681" t="str">
        <f t="shared" si="33"/>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INDEX(products!$A$1:$G$49,MATCH($D682,products!$A$1:$A$49,0),MATCH(I$1,products!$A$1:$G$1,0))</f>
        <v>Ara</v>
      </c>
      <c r="J682" t="str">
        <f>INDEX(products!$A$1:$G$49,MATCH($D682,products!$A$1:$A$49,0),MATCH(J$1,products!$A$1:$G$1,0))</f>
        <v>M</v>
      </c>
      <c r="K682" s="4">
        <f>INDEX(products!$A$1:$G$49,MATCH($D682,products!$A$1:$A$49,0),MATCH(K$1,products!$A$1:$G$1,0))</f>
        <v>1</v>
      </c>
      <c r="L682" s="5">
        <f>INDEX(products!$A$1:$G$49,MATCH($D682,products!$A$1:$A$49,0),MATCH(L$1,products!$A$1:$G$1,0))</f>
        <v>11.25</v>
      </c>
      <c r="M682" s="5">
        <f t="shared" si="31"/>
        <v>56.25</v>
      </c>
      <c r="N682" t="str">
        <f t="shared" si="33"/>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INDEX(products!$A$1:$G$49,MATCH($D683,products!$A$1:$A$49,0),MATCH(I$1,products!$A$1:$G$1,0))</f>
        <v>Lib</v>
      </c>
      <c r="J683" t="str">
        <f>INDEX(products!$A$1:$G$49,MATCH($D683,products!$A$1:$A$49,0),MATCH(J$1,products!$A$1:$G$1,0))</f>
        <v>L</v>
      </c>
      <c r="K683" s="4">
        <f>INDEX(products!$A$1:$G$49,MATCH($D683,products!$A$1:$A$49,0),MATCH(K$1,products!$A$1:$G$1,0))</f>
        <v>0.2</v>
      </c>
      <c r="L683" s="5">
        <f>INDEX(products!$A$1:$G$49,MATCH($D683,products!$A$1:$A$49,0),MATCH(L$1,products!$A$1:$G$1,0))</f>
        <v>4.7549999999999999</v>
      </c>
      <c r="M683" s="5">
        <f t="shared" si="31"/>
        <v>9.51</v>
      </c>
      <c r="N683" t="str">
        <f t="shared" si="33"/>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INDEX(products!$A$1:$G$49,MATCH($D684,products!$A$1:$A$49,0),MATCH(I$1,products!$A$1:$G$1,0))</f>
        <v>Exc</v>
      </c>
      <c r="J684" t="str">
        <f>INDEX(products!$A$1:$G$49,MATCH($D684,products!$A$1:$A$49,0),MATCH(J$1,products!$A$1:$G$1,0))</f>
        <v>M</v>
      </c>
      <c r="K684" s="4">
        <f>INDEX(products!$A$1:$G$49,MATCH($D684,products!$A$1:$A$49,0),MATCH(K$1,products!$A$1:$G$1,0))</f>
        <v>0.2</v>
      </c>
      <c r="L684" s="5">
        <f>INDEX(products!$A$1:$G$49,MATCH($D684,products!$A$1:$A$49,0),MATCH(L$1,products!$A$1:$G$1,0))</f>
        <v>4.125</v>
      </c>
      <c r="M684" s="5">
        <f t="shared" si="31"/>
        <v>8.25</v>
      </c>
      <c r="N684" t="str">
        <f t="shared" si="33"/>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INDEX(products!$A$1:$G$49,MATCH($D685,products!$A$1:$A$49,0),MATCH(I$1,products!$A$1:$G$1,0))</f>
        <v>Lib</v>
      </c>
      <c r="J685" t="str">
        <f>INDEX(products!$A$1:$G$49,MATCH($D685,products!$A$1:$A$49,0),MATCH(J$1,products!$A$1:$G$1,0))</f>
        <v>D</v>
      </c>
      <c r="K685" s="4">
        <f>INDEX(products!$A$1:$G$49,MATCH($D685,products!$A$1:$A$49,0),MATCH(K$1,products!$A$1:$G$1,0))</f>
        <v>0.5</v>
      </c>
      <c r="L685" s="5">
        <f>INDEX(products!$A$1:$G$49,MATCH($D685,products!$A$1:$A$49,0),MATCH(L$1,products!$A$1:$G$1,0))</f>
        <v>7.77</v>
      </c>
      <c r="M685" s="5">
        <f t="shared" si="31"/>
        <v>46.62</v>
      </c>
      <c r="N685" t="str">
        <f t="shared" si="33"/>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f>
        <v>Becca Ableson</v>
      </c>
      <c r="G686" s="2" t="str">
        <f>IF(_xlfn.XLOOKUP(C686,customers!$A$1:$A$1001,customers!$C$1:$C$1001,,0)=0,"",_xlfn.XLOOKUP(C686,customers!$A$1:$A$1001,customers!$C$1:$C$1001,,0))</f>
        <v/>
      </c>
      <c r="H686" s="2" t="str">
        <f>_xlfn.XLOOKUP(C686,customers!$A$1:$A$1001,customers!$G$1:$G$1001,,0)</f>
        <v>United States</v>
      </c>
      <c r="I686" t="str">
        <f>INDEX(products!$A$1:$G$49,MATCH($D686,products!$A$1:$A$49,0),MATCH(I$1,products!$A$1:$G$1,0))</f>
        <v>Rob</v>
      </c>
      <c r="J686" t="str">
        <f>INDEX(products!$A$1:$G$49,MATCH($D686,products!$A$1:$A$49,0),MATCH(J$1,products!$A$1:$G$1,0))</f>
        <v>L</v>
      </c>
      <c r="K686" s="4">
        <f>INDEX(products!$A$1:$G$49,MATCH($D686,products!$A$1:$A$49,0),MATCH(K$1,products!$A$1:$G$1,0))</f>
        <v>1</v>
      </c>
      <c r="L686" s="5">
        <f>INDEX(products!$A$1:$G$49,MATCH($D686,products!$A$1:$A$49,0),MATCH(L$1,products!$A$1:$G$1,0))</f>
        <v>11.95</v>
      </c>
      <c r="M686" s="5">
        <f t="shared" si="31"/>
        <v>71.699999999999989</v>
      </c>
      <c r="N686" t="str">
        <f t="shared" si="33"/>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INDEX(products!$A$1:$G$49,MATCH($D687,products!$A$1:$A$49,0),MATCH(I$1,products!$A$1:$G$1,0))</f>
        <v>Lib</v>
      </c>
      <c r="J687" t="str">
        <f>INDEX(products!$A$1:$G$49,MATCH($D687,products!$A$1:$A$49,0),MATCH(J$1,products!$A$1:$G$1,0))</f>
        <v>L</v>
      </c>
      <c r="K687" s="4">
        <f>INDEX(products!$A$1:$G$49,MATCH($D687,products!$A$1:$A$49,0),MATCH(K$1,products!$A$1:$G$1,0))</f>
        <v>2.5</v>
      </c>
      <c r="L687" s="5">
        <f>INDEX(products!$A$1:$G$49,MATCH($D687,products!$A$1:$A$49,0),MATCH(L$1,products!$A$1:$G$1,0))</f>
        <v>36.454999999999998</v>
      </c>
      <c r="M687" s="5">
        <f t="shared" si="31"/>
        <v>72.91</v>
      </c>
      <c r="N687" t="str">
        <f t="shared" si="33"/>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INDEX(products!$A$1:$G$49,MATCH($D688,products!$A$1:$A$49,0),MATCH(I$1,products!$A$1:$G$1,0))</f>
        <v>Rob</v>
      </c>
      <c r="J688" t="str">
        <f>INDEX(products!$A$1:$G$49,MATCH($D688,products!$A$1:$A$49,0),MATCH(J$1,products!$A$1:$G$1,0))</f>
        <v>D</v>
      </c>
      <c r="K688" s="4">
        <f>INDEX(products!$A$1:$G$49,MATCH($D688,products!$A$1:$A$49,0),MATCH(K$1,products!$A$1:$G$1,0))</f>
        <v>0.2</v>
      </c>
      <c r="L688" s="5">
        <f>INDEX(products!$A$1:$G$49,MATCH($D688,products!$A$1:$A$49,0),MATCH(L$1,products!$A$1:$G$1,0))</f>
        <v>2.6849999999999996</v>
      </c>
      <c r="M688" s="5">
        <f t="shared" si="31"/>
        <v>8.0549999999999997</v>
      </c>
      <c r="N688" t="str">
        <f t="shared" si="33"/>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INDEX(products!$A$1:$G$49,MATCH($D689,products!$A$1:$A$49,0),MATCH(I$1,products!$A$1:$G$1,0))</f>
        <v>Exc</v>
      </c>
      <c r="J689" t="str">
        <f>INDEX(products!$A$1:$G$49,MATCH($D689,products!$A$1:$A$49,0),MATCH(J$1,products!$A$1:$G$1,0))</f>
        <v>M</v>
      </c>
      <c r="K689" s="4">
        <f>INDEX(products!$A$1:$G$49,MATCH($D689,products!$A$1:$A$49,0),MATCH(K$1,products!$A$1:$G$1,0))</f>
        <v>0.5</v>
      </c>
      <c r="L689" s="5">
        <f>INDEX(products!$A$1:$G$49,MATCH($D689,products!$A$1:$A$49,0),MATCH(L$1,products!$A$1:$G$1,0))</f>
        <v>8.25</v>
      </c>
      <c r="M689" s="5">
        <f t="shared" si="31"/>
        <v>16.5</v>
      </c>
      <c r="N689" t="str">
        <f t="shared" si="33"/>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INDEX(products!$A$1:$G$49,MATCH($D690,products!$A$1:$A$49,0),MATCH(I$1,products!$A$1:$G$1,0))</f>
        <v>Ara</v>
      </c>
      <c r="J690" t="str">
        <f>INDEX(products!$A$1:$G$49,MATCH($D690,products!$A$1:$A$49,0),MATCH(J$1,products!$A$1:$G$1,0))</f>
        <v>L</v>
      </c>
      <c r="K690" s="4">
        <f>INDEX(products!$A$1:$G$49,MATCH($D690,products!$A$1:$A$49,0),MATCH(K$1,products!$A$1:$G$1,0))</f>
        <v>1</v>
      </c>
      <c r="L690" s="5">
        <f>INDEX(products!$A$1:$G$49,MATCH($D690,products!$A$1:$A$49,0),MATCH(L$1,products!$A$1:$G$1,0))</f>
        <v>12.95</v>
      </c>
      <c r="M690" s="5">
        <f t="shared" si="31"/>
        <v>64.75</v>
      </c>
      <c r="N690" t="str">
        <f t="shared" si="33"/>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INDEX(products!$A$1:$G$49,MATCH($D691,products!$A$1:$A$49,0),MATCH(I$1,products!$A$1:$G$1,0))</f>
        <v>Ara</v>
      </c>
      <c r="J691" t="str">
        <f>INDEX(products!$A$1:$G$49,MATCH($D691,products!$A$1:$A$49,0),MATCH(J$1,products!$A$1:$G$1,0))</f>
        <v>M</v>
      </c>
      <c r="K691" s="4">
        <f>INDEX(products!$A$1:$G$49,MATCH($D691,products!$A$1:$A$49,0),MATCH(K$1,products!$A$1:$G$1,0))</f>
        <v>0.5</v>
      </c>
      <c r="L691" s="5">
        <f>INDEX(products!$A$1:$G$49,MATCH($D691,products!$A$1:$A$49,0),MATCH(L$1,products!$A$1:$G$1,0))</f>
        <v>6.75</v>
      </c>
      <c r="M691" s="5">
        <f t="shared" si="31"/>
        <v>33.75</v>
      </c>
      <c r="N691" t="str">
        <f t="shared" si="33"/>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f>
        <v>Francesco Dressel</v>
      </c>
      <c r="G692" s="2" t="str">
        <f>IF(_xlfn.XLOOKUP(C692,customers!$A$1:$A$1001,customers!$C$1:$C$1001,,0)=0,"",_xlfn.XLOOKUP(C692,customers!$A$1:$A$1001,customers!$C$1:$C$1001,,0))</f>
        <v/>
      </c>
      <c r="H692" s="2" t="str">
        <f>_xlfn.XLOOKUP(C692,customers!$A$1:$A$1001,customers!$G$1:$G$1001,,0)</f>
        <v>United States</v>
      </c>
      <c r="I692" t="str">
        <f>INDEX(products!$A$1:$G$49,MATCH($D692,products!$A$1:$A$49,0),MATCH(I$1,products!$A$1:$G$1,0))</f>
        <v>Lib</v>
      </c>
      <c r="J692" t="str">
        <f>INDEX(products!$A$1:$G$49,MATCH($D692,products!$A$1:$A$49,0),MATCH(J$1,products!$A$1:$G$1,0))</f>
        <v>D</v>
      </c>
      <c r="K692" s="4">
        <f>INDEX(products!$A$1:$G$49,MATCH($D692,products!$A$1:$A$49,0),MATCH(K$1,products!$A$1:$G$1,0))</f>
        <v>2.5</v>
      </c>
      <c r="L692" s="5">
        <f>INDEX(products!$A$1:$G$49,MATCH($D692,products!$A$1:$A$49,0),MATCH(L$1,products!$A$1:$G$1,0))</f>
        <v>29.784999999999997</v>
      </c>
      <c r="M692" s="5">
        <f t="shared" si="31"/>
        <v>178.70999999999998</v>
      </c>
      <c r="N692" t="str">
        <f t="shared" si="33"/>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INDEX(products!$A$1:$G$49,MATCH($D693,products!$A$1:$A$49,0),MATCH(I$1,products!$A$1:$G$1,0))</f>
        <v>Ara</v>
      </c>
      <c r="J693" t="str">
        <f>INDEX(products!$A$1:$G$49,MATCH($D693,products!$A$1:$A$49,0),MATCH(J$1,products!$A$1:$G$1,0))</f>
        <v>M</v>
      </c>
      <c r="K693" s="4">
        <f>INDEX(products!$A$1:$G$49,MATCH($D693,products!$A$1:$A$49,0),MATCH(K$1,products!$A$1:$G$1,0))</f>
        <v>1</v>
      </c>
      <c r="L693" s="5">
        <f>INDEX(products!$A$1:$G$49,MATCH($D693,products!$A$1:$A$49,0),MATCH(L$1,products!$A$1:$G$1,0))</f>
        <v>11.25</v>
      </c>
      <c r="M693" s="5">
        <f t="shared" si="31"/>
        <v>22.5</v>
      </c>
      <c r="N693" t="str">
        <f t="shared" si="33"/>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INDEX(products!$A$1:$G$49,MATCH($D694,products!$A$1:$A$49,0),MATCH(I$1,products!$A$1:$G$1,0))</f>
        <v>Lib</v>
      </c>
      <c r="J694" t="str">
        <f>INDEX(products!$A$1:$G$49,MATCH($D694,products!$A$1:$A$49,0),MATCH(J$1,products!$A$1:$G$1,0))</f>
        <v>D</v>
      </c>
      <c r="K694" s="4">
        <f>INDEX(products!$A$1:$G$49,MATCH($D694,products!$A$1:$A$49,0),MATCH(K$1,products!$A$1:$G$1,0))</f>
        <v>1</v>
      </c>
      <c r="L694" s="5">
        <f>INDEX(products!$A$1:$G$49,MATCH($D694,products!$A$1:$A$49,0),MATCH(L$1,products!$A$1:$G$1,0))</f>
        <v>12.95</v>
      </c>
      <c r="M694" s="5">
        <f t="shared" si="31"/>
        <v>12.95</v>
      </c>
      <c r="N694" t="str">
        <f t="shared" si="33"/>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INDEX(products!$A$1:$G$49,MATCH($D695,products!$A$1:$A$49,0),MATCH(I$1,products!$A$1:$G$1,0))</f>
        <v>Ara</v>
      </c>
      <c r="J695" t="str">
        <f>INDEX(products!$A$1:$G$49,MATCH($D695,products!$A$1:$A$49,0),MATCH(J$1,products!$A$1:$G$1,0))</f>
        <v>M</v>
      </c>
      <c r="K695" s="4">
        <f>INDEX(products!$A$1:$G$49,MATCH($D695,products!$A$1:$A$49,0),MATCH(K$1,products!$A$1:$G$1,0))</f>
        <v>2.5</v>
      </c>
      <c r="L695" s="5">
        <f>INDEX(products!$A$1:$G$49,MATCH($D695,products!$A$1:$A$49,0),MATCH(L$1,products!$A$1:$G$1,0))</f>
        <v>25.874999999999996</v>
      </c>
      <c r="M695" s="5">
        <f t="shared" si="31"/>
        <v>51.749999999999993</v>
      </c>
      <c r="N695" t="str">
        <f t="shared" si="33"/>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INDEX(products!$A$1:$G$49,MATCH($D696,products!$A$1:$A$49,0),MATCH(I$1,products!$A$1:$G$1,0))</f>
        <v>Exc</v>
      </c>
      <c r="J696" t="str">
        <f>INDEX(products!$A$1:$G$49,MATCH($D696,products!$A$1:$A$49,0),MATCH(J$1,products!$A$1:$G$1,0))</f>
        <v>D</v>
      </c>
      <c r="K696" s="4">
        <f>INDEX(products!$A$1:$G$49,MATCH($D696,products!$A$1:$A$49,0),MATCH(K$1,products!$A$1:$G$1,0))</f>
        <v>0.5</v>
      </c>
      <c r="L696" s="5">
        <f>INDEX(products!$A$1:$G$49,MATCH($D696,products!$A$1:$A$49,0),MATCH(L$1,products!$A$1:$G$1,0))</f>
        <v>7.29</v>
      </c>
      <c r="M696" s="5">
        <f t="shared" si="31"/>
        <v>36.450000000000003</v>
      </c>
      <c r="N696" t="str">
        <f t="shared" si="33"/>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INDEX(products!$A$1:$G$49,MATCH($D697,products!$A$1:$A$49,0),MATCH(I$1,products!$A$1:$G$1,0))</f>
        <v>Lib</v>
      </c>
      <c r="J697" t="str">
        <f>INDEX(products!$A$1:$G$49,MATCH($D697,products!$A$1:$A$49,0),MATCH(J$1,products!$A$1:$G$1,0))</f>
        <v>L</v>
      </c>
      <c r="K697" s="4">
        <f>INDEX(products!$A$1:$G$49,MATCH($D697,products!$A$1:$A$49,0),MATCH(K$1,products!$A$1:$G$1,0))</f>
        <v>2.5</v>
      </c>
      <c r="L697" s="5">
        <f>INDEX(products!$A$1:$G$49,MATCH($D697,products!$A$1:$A$49,0),MATCH(L$1,products!$A$1:$G$1,0))</f>
        <v>36.454999999999998</v>
      </c>
      <c r="M697" s="5">
        <f t="shared" si="31"/>
        <v>182.27499999999998</v>
      </c>
      <c r="N697" t="str">
        <f t="shared" si="33"/>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INDEX(products!$A$1:$G$49,MATCH($D698,products!$A$1:$A$49,0),MATCH(I$1,products!$A$1:$G$1,0))</f>
        <v>Lib</v>
      </c>
      <c r="J698" t="str">
        <f>INDEX(products!$A$1:$G$49,MATCH($D698,products!$A$1:$A$49,0),MATCH(J$1,products!$A$1:$G$1,0))</f>
        <v>D</v>
      </c>
      <c r="K698" s="4">
        <f>INDEX(products!$A$1:$G$49,MATCH($D698,products!$A$1:$A$49,0),MATCH(K$1,products!$A$1:$G$1,0))</f>
        <v>0.5</v>
      </c>
      <c r="L698" s="5">
        <f>INDEX(products!$A$1:$G$49,MATCH($D698,products!$A$1:$A$49,0),MATCH(L$1,products!$A$1:$G$1,0))</f>
        <v>7.77</v>
      </c>
      <c r="M698" s="5">
        <f t="shared" si="31"/>
        <v>31.08</v>
      </c>
      <c r="N698" t="str">
        <f t="shared" si="33"/>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f>
        <v>Myrle Dearden</v>
      </c>
      <c r="G699" s="2" t="str">
        <f>IF(_xlfn.XLOOKUP(C699,customers!$A$1:$A$1001,customers!$C$1:$C$1001,,0)=0,"",_xlfn.XLOOKUP(C699,customers!$A$1:$A$1001,customers!$C$1:$C$1001,,0))</f>
        <v/>
      </c>
      <c r="H699" s="2" t="str">
        <f>_xlfn.XLOOKUP(C699,customers!$A$1:$A$1001,customers!$G$1:$G$1001,,0)</f>
        <v>Ireland</v>
      </c>
      <c r="I699" t="str">
        <f>INDEX(products!$A$1:$G$49,MATCH($D699,products!$A$1:$A$49,0),MATCH(I$1,products!$A$1:$G$1,0))</f>
        <v>Ara</v>
      </c>
      <c r="J699" t="str">
        <f>INDEX(products!$A$1:$G$49,MATCH($D699,products!$A$1:$A$49,0),MATCH(J$1,products!$A$1:$G$1,0))</f>
        <v>M</v>
      </c>
      <c r="K699" s="4">
        <f>INDEX(products!$A$1:$G$49,MATCH($D699,products!$A$1:$A$49,0),MATCH(K$1,products!$A$1:$G$1,0))</f>
        <v>0.5</v>
      </c>
      <c r="L699" s="5">
        <f>INDEX(products!$A$1:$G$49,MATCH($D699,products!$A$1:$A$49,0),MATCH(L$1,products!$A$1:$G$1,0))</f>
        <v>6.75</v>
      </c>
      <c r="M699" s="5">
        <f t="shared" si="31"/>
        <v>20.25</v>
      </c>
      <c r="N699" t="str">
        <f t="shared" si="33"/>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INDEX(products!$A$1:$G$49,MATCH($D700,products!$A$1:$A$49,0),MATCH(I$1,products!$A$1:$G$1,0))</f>
        <v>Lib</v>
      </c>
      <c r="J700" t="str">
        <f>INDEX(products!$A$1:$G$49,MATCH($D700,products!$A$1:$A$49,0),MATCH(J$1,products!$A$1:$G$1,0))</f>
        <v>D</v>
      </c>
      <c r="K700" s="4">
        <f>INDEX(products!$A$1:$G$49,MATCH($D700,products!$A$1:$A$49,0),MATCH(K$1,products!$A$1:$G$1,0))</f>
        <v>1</v>
      </c>
      <c r="L700" s="5">
        <f>INDEX(products!$A$1:$G$49,MATCH($D700,products!$A$1:$A$49,0),MATCH(L$1,products!$A$1:$G$1,0))</f>
        <v>12.95</v>
      </c>
      <c r="M700" s="5">
        <f t="shared" si="31"/>
        <v>25.9</v>
      </c>
      <c r="N700" t="str">
        <f t="shared" si="33"/>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INDEX(products!$A$1:$G$49,MATCH($D701,products!$A$1:$A$49,0),MATCH(I$1,products!$A$1:$G$1,0))</f>
        <v>Ara</v>
      </c>
      <c r="J701" t="str">
        <f>INDEX(products!$A$1:$G$49,MATCH($D701,products!$A$1:$A$49,0),MATCH(J$1,products!$A$1:$G$1,0))</f>
        <v>D</v>
      </c>
      <c r="K701" s="4">
        <f>INDEX(products!$A$1:$G$49,MATCH($D701,products!$A$1:$A$49,0),MATCH(K$1,products!$A$1:$G$1,0))</f>
        <v>0.5</v>
      </c>
      <c r="L701" s="5">
        <f>INDEX(products!$A$1:$G$49,MATCH($D701,products!$A$1:$A$49,0),MATCH(L$1,products!$A$1:$G$1,0))</f>
        <v>5.97</v>
      </c>
      <c r="M701" s="5">
        <f t="shared" si="31"/>
        <v>23.88</v>
      </c>
      <c r="N701" t="str">
        <f t="shared" si="33"/>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INDEX(products!$A$1:$G$49,MATCH($D702,products!$A$1:$A$49,0),MATCH(I$1,products!$A$1:$G$1,0))</f>
        <v>Lib</v>
      </c>
      <c r="J702" t="str">
        <f>INDEX(products!$A$1:$G$49,MATCH($D702,products!$A$1:$A$49,0),MATCH(J$1,products!$A$1:$G$1,0))</f>
        <v>L</v>
      </c>
      <c r="K702" s="4">
        <f>INDEX(products!$A$1:$G$49,MATCH($D702,products!$A$1:$A$49,0),MATCH(K$1,products!$A$1:$G$1,0))</f>
        <v>0.5</v>
      </c>
      <c r="L702" s="5">
        <f>INDEX(products!$A$1:$G$49,MATCH($D702,products!$A$1:$A$49,0),MATCH(L$1,products!$A$1:$G$1,0))</f>
        <v>9.51</v>
      </c>
      <c r="M702" s="5">
        <f t="shared" si="31"/>
        <v>19.02</v>
      </c>
      <c r="N702" t="str">
        <f t="shared" si="33"/>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INDEX(products!$A$1:$G$49,MATCH($D703,products!$A$1:$A$49,0),MATCH(I$1,products!$A$1:$G$1,0))</f>
        <v>Ara</v>
      </c>
      <c r="J703" t="str">
        <f>INDEX(products!$A$1:$G$49,MATCH($D703,products!$A$1:$A$49,0),MATCH(J$1,products!$A$1:$G$1,0))</f>
        <v>D</v>
      </c>
      <c r="K703" s="4">
        <f>INDEX(products!$A$1:$G$49,MATCH($D703,products!$A$1:$A$49,0),MATCH(K$1,products!$A$1:$G$1,0))</f>
        <v>0.5</v>
      </c>
      <c r="L703" s="5">
        <f>INDEX(products!$A$1:$G$49,MATCH($D703,products!$A$1:$A$49,0),MATCH(L$1,products!$A$1:$G$1,0))</f>
        <v>5.97</v>
      </c>
      <c r="M703" s="5">
        <f t="shared" si="31"/>
        <v>29.849999999999998</v>
      </c>
      <c r="N703" t="str">
        <f t="shared" si="33"/>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INDEX(products!$A$1:$G$49,MATCH($D704,products!$A$1:$A$49,0),MATCH(I$1,products!$A$1:$G$1,0))</f>
        <v>Ara</v>
      </c>
      <c r="J704" t="str">
        <f>INDEX(products!$A$1:$G$49,MATCH($D704,products!$A$1:$A$49,0),MATCH(J$1,products!$A$1:$G$1,0))</f>
        <v>L</v>
      </c>
      <c r="K704" s="4">
        <f>INDEX(products!$A$1:$G$49,MATCH($D704,products!$A$1:$A$49,0),MATCH(K$1,products!$A$1:$G$1,0))</f>
        <v>0.5</v>
      </c>
      <c r="L704" s="5">
        <f>INDEX(products!$A$1:$G$49,MATCH($D704,products!$A$1:$A$49,0),MATCH(L$1,products!$A$1:$G$1,0))</f>
        <v>7.77</v>
      </c>
      <c r="M704" s="5">
        <f t="shared" si="31"/>
        <v>7.77</v>
      </c>
      <c r="N704" t="str">
        <f t="shared" si="33"/>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f>
        <v>Doralin Baison</v>
      </c>
      <c r="G705" s="2" t="str">
        <f>IF(_xlfn.XLOOKUP(C705,customers!$A$1:$A$1001,customers!$C$1:$C$1001,,0)=0,"",_xlfn.XLOOKUP(C705,customers!$A$1:$A$1001,customers!$C$1:$C$1001,,0))</f>
        <v/>
      </c>
      <c r="H705" s="2" t="str">
        <f>_xlfn.XLOOKUP(C705,customers!$A$1:$A$1001,customers!$G$1:$G$1001,,0)</f>
        <v>Ireland</v>
      </c>
      <c r="I705" t="str">
        <f>INDEX(products!$A$1:$G$49,MATCH($D705,products!$A$1:$A$49,0),MATCH(I$1,products!$A$1:$G$1,0))</f>
        <v>Lib</v>
      </c>
      <c r="J705" t="str">
        <f>INDEX(products!$A$1:$G$49,MATCH($D705,products!$A$1:$A$49,0),MATCH(J$1,products!$A$1:$G$1,0))</f>
        <v>D</v>
      </c>
      <c r="K705" s="4">
        <f>INDEX(products!$A$1:$G$49,MATCH($D705,products!$A$1:$A$49,0),MATCH(K$1,products!$A$1:$G$1,0))</f>
        <v>2.5</v>
      </c>
      <c r="L705" s="5">
        <f>INDEX(products!$A$1:$G$49,MATCH($D705,products!$A$1:$A$49,0),MATCH(L$1,products!$A$1:$G$1,0))</f>
        <v>29.784999999999997</v>
      </c>
      <c r="M705" s="5">
        <f t="shared" si="31"/>
        <v>119.13999999999999</v>
      </c>
      <c r="N705" t="str">
        <f t="shared" si="33"/>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f>
        <v>Josefina Ferens</v>
      </c>
      <c r="G706" s="2" t="str">
        <f>IF(_xlfn.XLOOKUP(C706,customers!$A$1:$A$1001,customers!$C$1:$C$1001,,0)=0,"",_xlfn.XLOOKUP(C706,customers!$A$1:$A$1001,customers!$C$1:$C$1001,,0))</f>
        <v/>
      </c>
      <c r="H706" s="2" t="str">
        <f>_xlfn.XLOOKUP(C706,customers!$A$1:$A$1001,customers!$G$1:$G$1001,,0)</f>
        <v>United States</v>
      </c>
      <c r="I706" t="str">
        <f>INDEX(products!$A$1:$G$49,MATCH($D706,products!$A$1:$A$49,0),MATCH(I$1,products!$A$1:$G$1,0))</f>
        <v>Exc</v>
      </c>
      <c r="J706" t="str">
        <f>INDEX(products!$A$1:$G$49,MATCH($D706,products!$A$1:$A$49,0),MATCH(J$1,products!$A$1:$G$1,0))</f>
        <v>D</v>
      </c>
      <c r="K706" s="4">
        <f>INDEX(products!$A$1:$G$49,MATCH($D706,products!$A$1:$A$49,0),MATCH(K$1,products!$A$1:$G$1,0))</f>
        <v>0.2</v>
      </c>
      <c r="L706" s="5">
        <f>INDEX(products!$A$1:$G$49,MATCH($D706,products!$A$1:$A$49,0),MATCH(L$1,products!$A$1:$G$1,0))</f>
        <v>3.645</v>
      </c>
      <c r="M706" s="5">
        <f t="shared" si="31"/>
        <v>21.87</v>
      </c>
      <c r="N706" t="str">
        <f t="shared" si="33"/>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INDEX(products!$A$1:$G$49,MATCH($D707,products!$A$1:$A$49,0),MATCH(I$1,products!$A$1:$G$1,0))</f>
        <v>Exc</v>
      </c>
      <c r="J707" t="str">
        <f>INDEX(products!$A$1:$G$49,MATCH($D707,products!$A$1:$A$49,0),MATCH(J$1,products!$A$1:$G$1,0))</f>
        <v>L</v>
      </c>
      <c r="K707" s="4">
        <f>INDEX(products!$A$1:$G$49,MATCH($D707,products!$A$1:$A$49,0),MATCH(K$1,products!$A$1:$G$1,0))</f>
        <v>0.5</v>
      </c>
      <c r="L707" s="5">
        <f>INDEX(products!$A$1:$G$49,MATCH($D707,products!$A$1:$A$49,0),MATCH(L$1,products!$A$1:$G$1,0))</f>
        <v>8.91</v>
      </c>
      <c r="M707" s="5">
        <f t="shared" ref="M707:M770" si="34">L707*E707</f>
        <v>17.82</v>
      </c>
      <c r="N707" t="str">
        <f t="shared" si="33"/>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INDEX(products!$A$1:$G$49,MATCH($D708,products!$A$1:$A$49,0),MATCH(I$1,products!$A$1:$G$1,0))</f>
        <v>Exc</v>
      </c>
      <c r="J708" t="str">
        <f>INDEX(products!$A$1:$G$49,MATCH($D708,products!$A$1:$A$49,0),MATCH(J$1,products!$A$1:$G$1,0))</f>
        <v>M</v>
      </c>
      <c r="K708" s="4">
        <f>INDEX(products!$A$1:$G$49,MATCH($D708,products!$A$1:$A$49,0),MATCH(K$1,products!$A$1:$G$1,0))</f>
        <v>0.2</v>
      </c>
      <c r="L708" s="5">
        <f>INDEX(products!$A$1:$G$49,MATCH($D708,products!$A$1:$A$49,0),MATCH(L$1,products!$A$1:$G$1,0))</f>
        <v>4.125</v>
      </c>
      <c r="M708" s="5">
        <f t="shared" si="34"/>
        <v>12.375</v>
      </c>
      <c r="N708" t="str">
        <f t="shared" si="33"/>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f>
        <v>Nicolas Aiton</v>
      </c>
      <c r="G709" s="2" t="str">
        <f>IF(_xlfn.XLOOKUP(C709,customers!$A$1:$A$1001,customers!$C$1:$C$1001,,0)=0,"",_xlfn.XLOOKUP(C709,customers!$A$1:$A$1001,customers!$C$1:$C$1001,,0))</f>
        <v/>
      </c>
      <c r="H709" s="2" t="str">
        <f>_xlfn.XLOOKUP(C709,customers!$A$1:$A$1001,customers!$G$1:$G$1001,,0)</f>
        <v>Ireland</v>
      </c>
      <c r="I709" t="str">
        <f>INDEX(products!$A$1:$G$49,MATCH($D709,products!$A$1:$A$49,0),MATCH(I$1,products!$A$1:$G$1,0))</f>
        <v>Lib</v>
      </c>
      <c r="J709" t="str">
        <f>INDEX(products!$A$1:$G$49,MATCH($D709,products!$A$1:$A$49,0),MATCH(J$1,products!$A$1:$G$1,0))</f>
        <v>D</v>
      </c>
      <c r="K709" s="4">
        <f>INDEX(products!$A$1:$G$49,MATCH($D709,products!$A$1:$A$49,0),MATCH(K$1,products!$A$1:$G$1,0))</f>
        <v>1</v>
      </c>
      <c r="L709" s="5">
        <f>INDEX(products!$A$1:$G$49,MATCH($D709,products!$A$1:$A$49,0),MATCH(L$1,products!$A$1:$G$1,0))</f>
        <v>12.95</v>
      </c>
      <c r="M709" s="5">
        <f t="shared" si="34"/>
        <v>25.9</v>
      </c>
      <c r="N709" t="str">
        <f t="shared" si="33"/>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INDEX(products!$A$1:$G$49,MATCH($D710,products!$A$1:$A$49,0),MATCH(I$1,products!$A$1:$G$1,0))</f>
        <v>Ara</v>
      </c>
      <c r="J710" t="str">
        <f>INDEX(products!$A$1:$G$49,MATCH($D710,products!$A$1:$A$49,0),MATCH(J$1,products!$A$1:$G$1,0))</f>
        <v>M</v>
      </c>
      <c r="K710" s="4">
        <f>INDEX(products!$A$1:$G$49,MATCH($D710,products!$A$1:$A$49,0),MATCH(K$1,products!$A$1:$G$1,0))</f>
        <v>0.5</v>
      </c>
      <c r="L710" s="5">
        <f>INDEX(products!$A$1:$G$49,MATCH($D710,products!$A$1:$A$49,0),MATCH(L$1,products!$A$1:$G$1,0))</f>
        <v>6.75</v>
      </c>
      <c r="M710" s="5">
        <f t="shared" si="34"/>
        <v>13.5</v>
      </c>
      <c r="N710" t="str">
        <f t="shared" si="33"/>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f>
        <v>Lyell Murch</v>
      </c>
      <c r="G711" s="2" t="str">
        <f>IF(_xlfn.XLOOKUP(C711,customers!$A$1:$A$1001,customers!$C$1:$C$1001,,0)=0,"",_xlfn.XLOOKUP(C711,customers!$A$1:$A$1001,customers!$C$1:$C$1001,,0))</f>
        <v/>
      </c>
      <c r="H711" s="2" t="str">
        <f>_xlfn.XLOOKUP(C711,customers!$A$1:$A$1001,customers!$G$1:$G$1001,,0)</f>
        <v>United States</v>
      </c>
      <c r="I711" t="str">
        <f>INDEX(products!$A$1:$G$49,MATCH($D711,products!$A$1:$A$49,0),MATCH(I$1,products!$A$1:$G$1,0))</f>
        <v>Exc</v>
      </c>
      <c r="J711" t="str">
        <f>INDEX(products!$A$1:$G$49,MATCH($D711,products!$A$1:$A$49,0),MATCH(J$1,products!$A$1:$G$1,0))</f>
        <v>L</v>
      </c>
      <c r="K711" s="4">
        <f>INDEX(products!$A$1:$G$49,MATCH($D711,products!$A$1:$A$49,0),MATCH(K$1,products!$A$1:$G$1,0))</f>
        <v>0.5</v>
      </c>
      <c r="L711" s="5">
        <f>INDEX(products!$A$1:$G$49,MATCH($D711,products!$A$1:$A$49,0),MATCH(L$1,products!$A$1:$G$1,0))</f>
        <v>8.91</v>
      </c>
      <c r="M711" s="5">
        <f t="shared" si="34"/>
        <v>17.82</v>
      </c>
      <c r="N711" t="str">
        <f t="shared" ref="N711:N774" si="36">IF(I711="Rob","Robusta",IF(I711="Ara","Arabica",IF(I711="Exc","Excelsa",IF(I711="Lib","Liberica",""))))</f>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INDEX(products!$A$1:$G$49,MATCH($D712,products!$A$1:$A$49,0),MATCH(I$1,products!$A$1:$G$1,0))</f>
        <v>Exc</v>
      </c>
      <c r="J712" t="str">
        <f>INDEX(products!$A$1:$G$49,MATCH($D712,products!$A$1:$A$49,0),MATCH(J$1,products!$A$1:$G$1,0))</f>
        <v>M</v>
      </c>
      <c r="K712" s="4">
        <f>INDEX(products!$A$1:$G$49,MATCH($D712,products!$A$1:$A$49,0),MATCH(K$1,products!$A$1:$G$1,0))</f>
        <v>0.5</v>
      </c>
      <c r="L712" s="5">
        <f>INDEX(products!$A$1:$G$49,MATCH($D712,products!$A$1:$A$49,0),MATCH(L$1,products!$A$1:$G$1,0))</f>
        <v>8.25</v>
      </c>
      <c r="M712" s="5">
        <f t="shared" si="34"/>
        <v>24.75</v>
      </c>
      <c r="N712" t="str">
        <f t="shared" si="36"/>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INDEX(products!$A$1:$G$49,MATCH($D713,products!$A$1:$A$49,0),MATCH(I$1,products!$A$1:$G$1,0))</f>
        <v>Rob</v>
      </c>
      <c r="J713" t="str">
        <f>INDEX(products!$A$1:$G$49,MATCH($D713,products!$A$1:$A$49,0),MATCH(J$1,products!$A$1:$G$1,0))</f>
        <v>M</v>
      </c>
      <c r="K713" s="4">
        <f>INDEX(products!$A$1:$G$49,MATCH($D713,products!$A$1:$A$49,0),MATCH(K$1,products!$A$1:$G$1,0))</f>
        <v>0.2</v>
      </c>
      <c r="L713" s="5">
        <f>INDEX(products!$A$1:$G$49,MATCH($D713,products!$A$1:$A$49,0),MATCH(L$1,products!$A$1:$G$1,0))</f>
        <v>2.9849999999999999</v>
      </c>
      <c r="M713" s="5">
        <f t="shared" si="34"/>
        <v>17.91</v>
      </c>
      <c r="N713" t="str">
        <f t="shared" si="36"/>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f>
        <v>Silas Deehan</v>
      </c>
      <c r="G714" s="2" t="str">
        <f>IF(_xlfn.XLOOKUP(C714,customers!$A$1:$A$1001,customers!$C$1:$C$1001,,0)=0,"",_xlfn.XLOOKUP(C714,customers!$A$1:$A$1001,customers!$C$1:$C$1001,,0))</f>
        <v/>
      </c>
      <c r="H714" s="2" t="str">
        <f>_xlfn.XLOOKUP(C714,customers!$A$1:$A$1001,customers!$G$1:$G$1001,,0)</f>
        <v>United Kingdom</v>
      </c>
      <c r="I714" t="str">
        <f>INDEX(products!$A$1:$G$49,MATCH($D714,products!$A$1:$A$49,0),MATCH(I$1,products!$A$1:$G$1,0))</f>
        <v>Exc</v>
      </c>
      <c r="J714" t="str">
        <f>INDEX(products!$A$1:$G$49,MATCH($D714,products!$A$1:$A$49,0),MATCH(J$1,products!$A$1:$G$1,0))</f>
        <v>M</v>
      </c>
      <c r="K714" s="4">
        <f>INDEX(products!$A$1:$G$49,MATCH($D714,products!$A$1:$A$49,0),MATCH(K$1,products!$A$1:$G$1,0))</f>
        <v>0.5</v>
      </c>
      <c r="L714" s="5">
        <f>INDEX(products!$A$1:$G$49,MATCH($D714,products!$A$1:$A$49,0),MATCH(L$1,products!$A$1:$G$1,0))</f>
        <v>8.25</v>
      </c>
      <c r="M714" s="5">
        <f t="shared" si="34"/>
        <v>16.5</v>
      </c>
      <c r="N714" t="str">
        <f t="shared" si="36"/>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INDEX(products!$A$1:$G$49,MATCH($D715,products!$A$1:$A$49,0),MATCH(I$1,products!$A$1:$G$1,0))</f>
        <v>Rob</v>
      </c>
      <c r="J715" t="str">
        <f>INDEX(products!$A$1:$G$49,MATCH($D715,products!$A$1:$A$49,0),MATCH(J$1,products!$A$1:$G$1,0))</f>
        <v>M</v>
      </c>
      <c r="K715" s="4">
        <f>INDEX(products!$A$1:$G$49,MATCH($D715,products!$A$1:$A$49,0),MATCH(K$1,products!$A$1:$G$1,0))</f>
        <v>0.2</v>
      </c>
      <c r="L715" s="5">
        <f>INDEX(products!$A$1:$G$49,MATCH($D715,products!$A$1:$A$49,0),MATCH(L$1,products!$A$1:$G$1,0))</f>
        <v>2.9849999999999999</v>
      </c>
      <c r="M715" s="5">
        <f t="shared" si="34"/>
        <v>2.9849999999999999</v>
      </c>
      <c r="N715" t="str">
        <f t="shared" si="36"/>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f>
        <v>Alon Pllu</v>
      </c>
      <c r="G716" s="2" t="str">
        <f>IF(_xlfn.XLOOKUP(C716,customers!$A$1:$A$1001,customers!$C$1:$C$1001,,0)=0,"",_xlfn.XLOOKUP(C716,customers!$A$1:$A$1001,customers!$C$1:$C$1001,,0))</f>
        <v>aplluju@dagondesign.com</v>
      </c>
      <c r="H716" s="2" t="str">
        <f>_xlfn.XLOOKUP(C716,customers!$A$1:$A$1001,customers!$G$1:$G$1001,,0)</f>
        <v>Ireland</v>
      </c>
      <c r="I716" t="str">
        <f>INDEX(products!$A$1:$G$49,MATCH($D716,products!$A$1:$A$49,0),MATCH(I$1,products!$A$1:$G$1,0))</f>
        <v>Exc</v>
      </c>
      <c r="J716" t="str">
        <f>INDEX(products!$A$1:$G$49,MATCH($D716,products!$A$1:$A$49,0),MATCH(J$1,products!$A$1:$G$1,0))</f>
        <v>D</v>
      </c>
      <c r="K716" s="4">
        <f>INDEX(products!$A$1:$G$49,MATCH($D716,products!$A$1:$A$49,0),MATCH(K$1,products!$A$1:$G$1,0))</f>
        <v>0.2</v>
      </c>
      <c r="L716" s="5">
        <f>INDEX(products!$A$1:$G$49,MATCH($D716,products!$A$1:$A$49,0),MATCH(L$1,products!$A$1:$G$1,0))</f>
        <v>3.645</v>
      </c>
      <c r="M716" s="5">
        <f t="shared" si="34"/>
        <v>14.58</v>
      </c>
      <c r="N716" t="str">
        <f t="shared" si="36"/>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INDEX(products!$A$1:$G$49,MATCH($D717,products!$A$1:$A$49,0),MATCH(I$1,products!$A$1:$G$1,0))</f>
        <v>Exc</v>
      </c>
      <c r="J717" t="str">
        <f>INDEX(products!$A$1:$G$49,MATCH($D717,products!$A$1:$A$49,0),MATCH(J$1,products!$A$1:$G$1,0))</f>
        <v>L</v>
      </c>
      <c r="K717" s="4">
        <f>INDEX(products!$A$1:$G$49,MATCH($D717,products!$A$1:$A$49,0),MATCH(K$1,products!$A$1:$G$1,0))</f>
        <v>1</v>
      </c>
      <c r="L717" s="5">
        <f>INDEX(products!$A$1:$G$49,MATCH($D717,products!$A$1:$A$49,0),MATCH(L$1,products!$A$1:$G$1,0))</f>
        <v>14.85</v>
      </c>
      <c r="M717" s="5">
        <f t="shared" si="34"/>
        <v>89.1</v>
      </c>
      <c r="N717" t="str">
        <f t="shared" si="36"/>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INDEX(products!$A$1:$G$49,MATCH($D718,products!$A$1:$A$49,0),MATCH(I$1,products!$A$1:$G$1,0))</f>
        <v>Rob</v>
      </c>
      <c r="J718" t="str">
        <f>INDEX(products!$A$1:$G$49,MATCH($D718,products!$A$1:$A$49,0),MATCH(J$1,products!$A$1:$G$1,0))</f>
        <v>L</v>
      </c>
      <c r="K718" s="4">
        <f>INDEX(products!$A$1:$G$49,MATCH($D718,products!$A$1:$A$49,0),MATCH(K$1,products!$A$1:$G$1,0))</f>
        <v>1</v>
      </c>
      <c r="L718" s="5">
        <f>INDEX(products!$A$1:$G$49,MATCH($D718,products!$A$1:$A$49,0),MATCH(L$1,products!$A$1:$G$1,0))</f>
        <v>11.95</v>
      </c>
      <c r="M718" s="5">
        <f t="shared" si="34"/>
        <v>35.849999999999994</v>
      </c>
      <c r="N718" t="str">
        <f t="shared" si="36"/>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INDEX(products!$A$1:$G$49,MATCH($D719,products!$A$1:$A$49,0),MATCH(I$1,products!$A$1:$G$1,0))</f>
        <v>Ara</v>
      </c>
      <c r="J719" t="str">
        <f>INDEX(products!$A$1:$G$49,MATCH($D719,products!$A$1:$A$49,0),MATCH(J$1,products!$A$1:$G$1,0))</f>
        <v>D</v>
      </c>
      <c r="K719" s="4">
        <f>INDEX(products!$A$1:$G$49,MATCH($D719,products!$A$1:$A$49,0),MATCH(K$1,products!$A$1:$G$1,0))</f>
        <v>2.5</v>
      </c>
      <c r="L719" s="5">
        <f>INDEX(products!$A$1:$G$49,MATCH($D719,products!$A$1:$A$49,0),MATCH(L$1,products!$A$1:$G$1,0))</f>
        <v>22.884999999999998</v>
      </c>
      <c r="M719" s="5">
        <f t="shared" si="34"/>
        <v>68.655000000000001</v>
      </c>
      <c r="N719" t="str">
        <f t="shared" si="36"/>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INDEX(products!$A$1:$G$49,MATCH($D720,products!$A$1:$A$49,0),MATCH(I$1,products!$A$1:$G$1,0))</f>
        <v>Lib</v>
      </c>
      <c r="J720" t="str">
        <f>INDEX(products!$A$1:$G$49,MATCH($D720,products!$A$1:$A$49,0),MATCH(J$1,products!$A$1:$G$1,0))</f>
        <v>D</v>
      </c>
      <c r="K720" s="4">
        <f>INDEX(products!$A$1:$G$49,MATCH($D720,products!$A$1:$A$49,0),MATCH(K$1,products!$A$1:$G$1,0))</f>
        <v>1</v>
      </c>
      <c r="L720" s="5">
        <f>INDEX(products!$A$1:$G$49,MATCH($D720,products!$A$1:$A$49,0),MATCH(L$1,products!$A$1:$G$1,0))</f>
        <v>12.95</v>
      </c>
      <c r="M720" s="5">
        <f t="shared" si="34"/>
        <v>38.849999999999994</v>
      </c>
      <c r="N720" t="str">
        <f t="shared" si="36"/>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INDEX(products!$A$1:$G$49,MATCH($D721,products!$A$1:$A$49,0),MATCH(I$1,products!$A$1:$G$1,0))</f>
        <v>Lib</v>
      </c>
      <c r="J721" t="str">
        <f>INDEX(products!$A$1:$G$49,MATCH($D721,products!$A$1:$A$49,0),MATCH(J$1,products!$A$1:$G$1,0))</f>
        <v>L</v>
      </c>
      <c r="K721" s="4">
        <f>INDEX(products!$A$1:$G$49,MATCH($D721,products!$A$1:$A$49,0),MATCH(K$1,products!$A$1:$G$1,0))</f>
        <v>1</v>
      </c>
      <c r="L721" s="5">
        <f>INDEX(products!$A$1:$G$49,MATCH($D721,products!$A$1:$A$49,0),MATCH(L$1,products!$A$1:$G$1,0))</f>
        <v>15.85</v>
      </c>
      <c r="M721" s="5">
        <f t="shared" si="34"/>
        <v>79.25</v>
      </c>
      <c r="N721" t="str">
        <f t="shared" si="36"/>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INDEX(products!$A$1:$G$49,MATCH($D722,products!$A$1:$A$49,0),MATCH(I$1,products!$A$1:$G$1,0))</f>
        <v>Exc</v>
      </c>
      <c r="J722" t="str">
        <f>INDEX(products!$A$1:$G$49,MATCH($D722,products!$A$1:$A$49,0),MATCH(J$1,products!$A$1:$G$1,0))</f>
        <v>D</v>
      </c>
      <c r="K722" s="4">
        <f>INDEX(products!$A$1:$G$49,MATCH($D722,products!$A$1:$A$49,0),MATCH(K$1,products!$A$1:$G$1,0))</f>
        <v>0.5</v>
      </c>
      <c r="L722" s="5">
        <f>INDEX(products!$A$1:$G$49,MATCH($D722,products!$A$1:$A$49,0),MATCH(L$1,products!$A$1:$G$1,0))</f>
        <v>7.29</v>
      </c>
      <c r="M722" s="5">
        <f t="shared" si="34"/>
        <v>36.450000000000003</v>
      </c>
      <c r="N722" t="str">
        <f t="shared" si="36"/>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INDEX(products!$A$1:$G$49,MATCH($D723,products!$A$1:$A$49,0),MATCH(I$1,products!$A$1:$G$1,0))</f>
        <v>Rob</v>
      </c>
      <c r="J723" t="str">
        <f>INDEX(products!$A$1:$G$49,MATCH($D723,products!$A$1:$A$49,0),MATCH(J$1,products!$A$1:$G$1,0))</f>
        <v>M</v>
      </c>
      <c r="K723" s="4">
        <f>INDEX(products!$A$1:$G$49,MATCH($D723,products!$A$1:$A$49,0),MATCH(K$1,products!$A$1:$G$1,0))</f>
        <v>0.2</v>
      </c>
      <c r="L723" s="5">
        <f>INDEX(products!$A$1:$G$49,MATCH($D723,products!$A$1:$A$49,0),MATCH(L$1,products!$A$1:$G$1,0))</f>
        <v>2.9849999999999999</v>
      </c>
      <c r="M723" s="5">
        <f t="shared" si="34"/>
        <v>8.9550000000000001</v>
      </c>
      <c r="N723" t="str">
        <f t="shared" si="36"/>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f>
        <v>Hetti Measures</v>
      </c>
      <c r="G724" s="2" t="str">
        <f>IF(_xlfn.XLOOKUP(C724,customers!$A$1:$A$1001,customers!$C$1:$C$1001,,0)=0,"",_xlfn.XLOOKUP(C724,customers!$A$1:$A$1001,customers!$C$1:$C$1001,,0))</f>
        <v/>
      </c>
      <c r="H724" s="2" t="str">
        <f>_xlfn.XLOOKUP(C724,customers!$A$1:$A$1001,customers!$G$1:$G$1001,,0)</f>
        <v>United States</v>
      </c>
      <c r="I724" t="str">
        <f>INDEX(products!$A$1:$G$49,MATCH($D724,products!$A$1:$A$49,0),MATCH(I$1,products!$A$1:$G$1,0))</f>
        <v>Exc</v>
      </c>
      <c r="J724" t="str">
        <f>INDEX(products!$A$1:$G$49,MATCH($D724,products!$A$1:$A$49,0),MATCH(J$1,products!$A$1:$G$1,0))</f>
        <v>D</v>
      </c>
      <c r="K724" s="4">
        <f>INDEX(products!$A$1:$G$49,MATCH($D724,products!$A$1:$A$49,0),MATCH(K$1,products!$A$1:$G$1,0))</f>
        <v>1</v>
      </c>
      <c r="L724" s="5">
        <f>INDEX(products!$A$1:$G$49,MATCH($D724,products!$A$1:$A$49,0),MATCH(L$1,products!$A$1:$G$1,0))</f>
        <v>12.15</v>
      </c>
      <c r="M724" s="5">
        <f t="shared" si="34"/>
        <v>24.3</v>
      </c>
      <c r="N724" t="str">
        <f t="shared" si="36"/>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INDEX(products!$A$1:$G$49,MATCH($D725,products!$A$1:$A$49,0),MATCH(I$1,products!$A$1:$G$1,0))</f>
        <v>Exc</v>
      </c>
      <c r="J725" t="str">
        <f>INDEX(products!$A$1:$G$49,MATCH($D725,products!$A$1:$A$49,0),MATCH(J$1,products!$A$1:$G$1,0))</f>
        <v>M</v>
      </c>
      <c r="K725" s="4">
        <f>INDEX(products!$A$1:$G$49,MATCH($D725,products!$A$1:$A$49,0),MATCH(K$1,products!$A$1:$G$1,0))</f>
        <v>2.5</v>
      </c>
      <c r="L725" s="5">
        <f>INDEX(products!$A$1:$G$49,MATCH($D725,products!$A$1:$A$49,0),MATCH(L$1,products!$A$1:$G$1,0))</f>
        <v>31.624999999999996</v>
      </c>
      <c r="M725" s="5">
        <f t="shared" si="34"/>
        <v>63.249999999999993</v>
      </c>
      <c r="N725" t="str">
        <f t="shared" si="36"/>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f>
        <v>Nico Hubert</v>
      </c>
      <c r="G726" s="2" t="str">
        <f>IF(_xlfn.XLOOKUP(C726,customers!$A$1:$A$1001,customers!$C$1:$C$1001,,0)=0,"",_xlfn.XLOOKUP(C726,customers!$A$1:$A$1001,customers!$C$1:$C$1001,,0))</f>
        <v/>
      </c>
      <c r="H726" s="2" t="str">
        <f>_xlfn.XLOOKUP(C726,customers!$A$1:$A$1001,customers!$G$1:$G$1001,,0)</f>
        <v>United States</v>
      </c>
      <c r="I726" t="str">
        <f>INDEX(products!$A$1:$G$49,MATCH($D726,products!$A$1:$A$49,0),MATCH(I$1,products!$A$1:$G$1,0))</f>
        <v>Ara</v>
      </c>
      <c r="J726" t="str">
        <f>INDEX(products!$A$1:$G$49,MATCH($D726,products!$A$1:$A$49,0),MATCH(J$1,products!$A$1:$G$1,0))</f>
        <v>M</v>
      </c>
      <c r="K726" s="4">
        <f>INDEX(products!$A$1:$G$49,MATCH($D726,products!$A$1:$A$49,0),MATCH(K$1,products!$A$1:$G$1,0))</f>
        <v>0.2</v>
      </c>
      <c r="L726" s="5">
        <f>INDEX(products!$A$1:$G$49,MATCH($D726,products!$A$1:$A$49,0),MATCH(L$1,products!$A$1:$G$1,0))</f>
        <v>3.375</v>
      </c>
      <c r="M726" s="5">
        <f t="shared" si="34"/>
        <v>6.75</v>
      </c>
      <c r="N726" t="str">
        <f t="shared" si="36"/>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INDEX(products!$A$1:$G$49,MATCH($D727,products!$A$1:$A$49,0),MATCH(I$1,products!$A$1:$G$1,0))</f>
        <v>Ara</v>
      </c>
      <c r="J727" t="str">
        <f>INDEX(products!$A$1:$G$49,MATCH($D727,products!$A$1:$A$49,0),MATCH(J$1,products!$A$1:$G$1,0))</f>
        <v>L</v>
      </c>
      <c r="K727" s="4">
        <f>INDEX(products!$A$1:$G$49,MATCH($D727,products!$A$1:$A$49,0),MATCH(K$1,products!$A$1:$G$1,0))</f>
        <v>0.2</v>
      </c>
      <c r="L727" s="5">
        <f>INDEX(products!$A$1:$G$49,MATCH($D727,products!$A$1:$A$49,0),MATCH(L$1,products!$A$1:$G$1,0))</f>
        <v>3.8849999999999998</v>
      </c>
      <c r="M727" s="5">
        <f t="shared" si="34"/>
        <v>23.31</v>
      </c>
      <c r="N727" t="str">
        <f t="shared" si="36"/>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f>
        <v>Derrek Allpress</v>
      </c>
      <c r="G728" s="2" t="str">
        <f>IF(_xlfn.XLOOKUP(C728,customers!$A$1:$A$1001,customers!$C$1:$C$1001,,0)=0,"",_xlfn.XLOOKUP(C728,customers!$A$1:$A$1001,customers!$C$1:$C$1001,,0))</f>
        <v/>
      </c>
      <c r="H728" s="2" t="str">
        <f>_xlfn.XLOOKUP(C728,customers!$A$1:$A$1001,customers!$G$1:$G$1001,,0)</f>
        <v>United States</v>
      </c>
      <c r="I728" t="str">
        <f>INDEX(products!$A$1:$G$49,MATCH($D728,products!$A$1:$A$49,0),MATCH(I$1,products!$A$1:$G$1,0))</f>
        <v>Lib</v>
      </c>
      <c r="J728" t="str">
        <f>INDEX(products!$A$1:$G$49,MATCH($D728,products!$A$1:$A$49,0),MATCH(J$1,products!$A$1:$G$1,0))</f>
        <v>L</v>
      </c>
      <c r="K728" s="4">
        <f>INDEX(products!$A$1:$G$49,MATCH($D728,products!$A$1:$A$49,0),MATCH(K$1,products!$A$1:$G$1,0))</f>
        <v>2.5</v>
      </c>
      <c r="L728" s="5">
        <f>INDEX(products!$A$1:$G$49,MATCH($D728,products!$A$1:$A$49,0),MATCH(L$1,products!$A$1:$G$1,0))</f>
        <v>36.454999999999998</v>
      </c>
      <c r="M728" s="5">
        <f t="shared" si="34"/>
        <v>145.82</v>
      </c>
      <c r="N728" t="str">
        <f t="shared" si="36"/>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INDEX(products!$A$1:$G$49,MATCH($D729,products!$A$1:$A$49,0),MATCH(I$1,products!$A$1:$G$1,0))</f>
        <v>Rob</v>
      </c>
      <c r="J729" t="str">
        <f>INDEX(products!$A$1:$G$49,MATCH($D729,products!$A$1:$A$49,0),MATCH(J$1,products!$A$1:$G$1,0))</f>
        <v>M</v>
      </c>
      <c r="K729" s="4">
        <f>INDEX(products!$A$1:$G$49,MATCH($D729,products!$A$1:$A$49,0),MATCH(K$1,products!$A$1:$G$1,0))</f>
        <v>0.5</v>
      </c>
      <c r="L729" s="5">
        <f>INDEX(products!$A$1:$G$49,MATCH($D729,products!$A$1:$A$49,0),MATCH(L$1,products!$A$1:$G$1,0))</f>
        <v>5.97</v>
      </c>
      <c r="M729" s="5">
        <f t="shared" si="34"/>
        <v>29.849999999999998</v>
      </c>
      <c r="N729" t="str">
        <f t="shared" si="36"/>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INDEX(products!$A$1:$G$49,MATCH($D730,products!$A$1:$A$49,0),MATCH(I$1,products!$A$1:$G$1,0))</f>
        <v>Exc</v>
      </c>
      <c r="J730" t="str">
        <f>INDEX(products!$A$1:$G$49,MATCH($D730,products!$A$1:$A$49,0),MATCH(J$1,products!$A$1:$G$1,0))</f>
        <v>D</v>
      </c>
      <c r="K730" s="4">
        <f>INDEX(products!$A$1:$G$49,MATCH($D730,products!$A$1:$A$49,0),MATCH(K$1,products!$A$1:$G$1,0))</f>
        <v>0.5</v>
      </c>
      <c r="L730" s="5">
        <f>INDEX(products!$A$1:$G$49,MATCH($D730,products!$A$1:$A$49,0),MATCH(L$1,products!$A$1:$G$1,0))</f>
        <v>7.29</v>
      </c>
      <c r="M730" s="5">
        <f t="shared" si="34"/>
        <v>21.87</v>
      </c>
      <c r="N730" t="str">
        <f t="shared" si="36"/>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INDEX(products!$A$1:$G$49,MATCH($D731,products!$A$1:$A$49,0),MATCH(I$1,products!$A$1:$G$1,0))</f>
        <v>Lib</v>
      </c>
      <c r="J731" t="str">
        <f>INDEX(products!$A$1:$G$49,MATCH($D731,products!$A$1:$A$49,0),MATCH(J$1,products!$A$1:$G$1,0))</f>
        <v>M</v>
      </c>
      <c r="K731" s="4">
        <f>INDEX(products!$A$1:$G$49,MATCH($D731,products!$A$1:$A$49,0),MATCH(K$1,products!$A$1:$G$1,0))</f>
        <v>0.2</v>
      </c>
      <c r="L731" s="5">
        <f>INDEX(products!$A$1:$G$49,MATCH($D731,products!$A$1:$A$49,0),MATCH(L$1,products!$A$1:$G$1,0))</f>
        <v>4.3650000000000002</v>
      </c>
      <c r="M731" s="5">
        <f t="shared" si="34"/>
        <v>4.3650000000000002</v>
      </c>
      <c r="N731" t="str">
        <f t="shared" si="36"/>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INDEX(products!$A$1:$G$49,MATCH($D732,products!$A$1:$A$49,0),MATCH(I$1,products!$A$1:$G$1,0))</f>
        <v>Lib</v>
      </c>
      <c r="J732" t="str">
        <f>INDEX(products!$A$1:$G$49,MATCH($D732,products!$A$1:$A$49,0),MATCH(J$1,products!$A$1:$G$1,0))</f>
        <v>L</v>
      </c>
      <c r="K732" s="4">
        <f>INDEX(products!$A$1:$G$49,MATCH($D732,products!$A$1:$A$49,0),MATCH(K$1,products!$A$1:$G$1,0))</f>
        <v>2.5</v>
      </c>
      <c r="L732" s="5">
        <f>INDEX(products!$A$1:$G$49,MATCH($D732,products!$A$1:$A$49,0),MATCH(L$1,products!$A$1:$G$1,0))</f>
        <v>36.454999999999998</v>
      </c>
      <c r="M732" s="5">
        <f t="shared" si="34"/>
        <v>36.454999999999998</v>
      </c>
      <c r="N732" t="str">
        <f t="shared" si="36"/>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f>
        <v>Leta Clarricoates</v>
      </c>
      <c r="G733" s="2" t="str">
        <f>IF(_xlfn.XLOOKUP(C733,customers!$A$1:$A$1001,customers!$C$1:$C$1001,,0)=0,"",_xlfn.XLOOKUP(C733,customers!$A$1:$A$1001,customers!$C$1:$C$1001,,0))</f>
        <v/>
      </c>
      <c r="H733" s="2" t="str">
        <f>_xlfn.XLOOKUP(C733,customers!$A$1:$A$1001,customers!$G$1:$G$1001,,0)</f>
        <v>United States</v>
      </c>
      <c r="I733" t="str">
        <f>INDEX(products!$A$1:$G$49,MATCH($D733,products!$A$1:$A$49,0),MATCH(I$1,products!$A$1:$G$1,0))</f>
        <v>Lib</v>
      </c>
      <c r="J733" t="str">
        <f>INDEX(products!$A$1:$G$49,MATCH($D733,products!$A$1:$A$49,0),MATCH(J$1,products!$A$1:$G$1,0))</f>
        <v>D</v>
      </c>
      <c r="K733" s="4">
        <f>INDEX(products!$A$1:$G$49,MATCH($D733,products!$A$1:$A$49,0),MATCH(K$1,products!$A$1:$G$1,0))</f>
        <v>0.2</v>
      </c>
      <c r="L733" s="5">
        <f>INDEX(products!$A$1:$G$49,MATCH($D733,products!$A$1:$A$49,0),MATCH(L$1,products!$A$1:$G$1,0))</f>
        <v>3.8849999999999998</v>
      </c>
      <c r="M733" s="5">
        <f t="shared" si="34"/>
        <v>15.54</v>
      </c>
      <c r="N733" t="str">
        <f t="shared" si="36"/>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INDEX(products!$A$1:$G$49,MATCH($D734,products!$A$1:$A$49,0),MATCH(I$1,products!$A$1:$G$1,0))</f>
        <v>Exc</v>
      </c>
      <c r="J734" t="str">
        <f>INDEX(products!$A$1:$G$49,MATCH($D734,products!$A$1:$A$49,0),MATCH(J$1,products!$A$1:$G$1,0))</f>
        <v>L</v>
      </c>
      <c r="K734" s="4">
        <f>INDEX(products!$A$1:$G$49,MATCH($D734,products!$A$1:$A$49,0),MATCH(K$1,products!$A$1:$G$1,0))</f>
        <v>0.2</v>
      </c>
      <c r="L734" s="5">
        <f>INDEX(products!$A$1:$G$49,MATCH($D734,products!$A$1:$A$49,0),MATCH(L$1,products!$A$1:$G$1,0))</f>
        <v>4.4550000000000001</v>
      </c>
      <c r="M734" s="5">
        <f t="shared" si="34"/>
        <v>8.91</v>
      </c>
      <c r="N734" t="str">
        <f t="shared" si="36"/>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INDEX(products!$A$1:$G$49,MATCH($D735,products!$A$1:$A$49,0),MATCH(I$1,products!$A$1:$G$1,0))</f>
        <v>Lib</v>
      </c>
      <c r="J735" t="str">
        <f>INDEX(products!$A$1:$G$49,MATCH($D735,products!$A$1:$A$49,0),MATCH(J$1,products!$A$1:$G$1,0))</f>
        <v>M</v>
      </c>
      <c r="K735" s="4">
        <f>INDEX(products!$A$1:$G$49,MATCH($D735,products!$A$1:$A$49,0),MATCH(K$1,products!$A$1:$G$1,0))</f>
        <v>2.5</v>
      </c>
      <c r="L735" s="5">
        <f>INDEX(products!$A$1:$G$49,MATCH($D735,products!$A$1:$A$49,0),MATCH(L$1,products!$A$1:$G$1,0))</f>
        <v>33.464999999999996</v>
      </c>
      <c r="M735" s="5">
        <f t="shared" si="34"/>
        <v>100.39499999999998</v>
      </c>
      <c r="N735" t="str">
        <f t="shared" si="36"/>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f>
        <v>Alica Kift</v>
      </c>
      <c r="G736" s="2" t="str">
        <f>IF(_xlfn.XLOOKUP(C736,customers!$A$1:$A$1001,customers!$C$1:$C$1001,,0)=0,"",_xlfn.XLOOKUP(C736,customers!$A$1:$A$1001,customers!$C$1:$C$1001,,0))</f>
        <v/>
      </c>
      <c r="H736" s="2" t="str">
        <f>_xlfn.XLOOKUP(C736,customers!$A$1:$A$1001,customers!$G$1:$G$1001,,0)</f>
        <v>United States</v>
      </c>
      <c r="I736" t="str">
        <f>INDEX(products!$A$1:$G$49,MATCH($D736,products!$A$1:$A$49,0),MATCH(I$1,products!$A$1:$G$1,0))</f>
        <v>Rob</v>
      </c>
      <c r="J736" t="str">
        <f>INDEX(products!$A$1:$G$49,MATCH($D736,products!$A$1:$A$49,0),MATCH(J$1,products!$A$1:$G$1,0))</f>
        <v>D</v>
      </c>
      <c r="K736" s="4">
        <f>INDEX(products!$A$1:$G$49,MATCH($D736,products!$A$1:$A$49,0),MATCH(K$1,products!$A$1:$G$1,0))</f>
        <v>0.2</v>
      </c>
      <c r="L736" s="5">
        <f>INDEX(products!$A$1:$G$49,MATCH($D736,products!$A$1:$A$49,0),MATCH(L$1,products!$A$1:$G$1,0))</f>
        <v>2.6849999999999996</v>
      </c>
      <c r="M736" s="5">
        <f t="shared" si="34"/>
        <v>13.424999999999997</v>
      </c>
      <c r="N736" t="str">
        <f t="shared" si="36"/>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INDEX(products!$A$1:$G$49,MATCH($D737,products!$A$1:$A$49,0),MATCH(I$1,products!$A$1:$G$1,0))</f>
        <v>Exc</v>
      </c>
      <c r="J737" t="str">
        <f>INDEX(products!$A$1:$G$49,MATCH($D737,products!$A$1:$A$49,0),MATCH(J$1,products!$A$1:$G$1,0))</f>
        <v>D</v>
      </c>
      <c r="K737" s="4">
        <f>INDEX(products!$A$1:$G$49,MATCH($D737,products!$A$1:$A$49,0),MATCH(K$1,products!$A$1:$G$1,0))</f>
        <v>0.2</v>
      </c>
      <c r="L737" s="5">
        <f>INDEX(products!$A$1:$G$49,MATCH($D737,products!$A$1:$A$49,0),MATCH(L$1,products!$A$1:$G$1,0))</f>
        <v>3.645</v>
      </c>
      <c r="M737" s="5">
        <f t="shared" si="34"/>
        <v>21.87</v>
      </c>
      <c r="N737" t="str">
        <f t="shared" si="36"/>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f>
        <v>Jarret Toye</v>
      </c>
      <c r="G738" s="2" t="str">
        <f>IF(_xlfn.XLOOKUP(C738,customers!$A$1:$A$1001,customers!$C$1:$C$1001,,0)=0,"",_xlfn.XLOOKUP(C738,customers!$A$1:$A$1001,customers!$C$1:$C$1001,,0))</f>
        <v>jtoyekg@pinterest.com</v>
      </c>
      <c r="H738" s="2" t="str">
        <f>_xlfn.XLOOKUP(C738,customers!$A$1:$A$1001,customers!$G$1:$G$1001,,0)</f>
        <v>Ireland</v>
      </c>
      <c r="I738" t="str">
        <f>INDEX(products!$A$1:$G$49,MATCH($D738,products!$A$1:$A$49,0),MATCH(I$1,products!$A$1:$G$1,0))</f>
        <v>Lib</v>
      </c>
      <c r="J738" t="str">
        <f>INDEX(products!$A$1:$G$49,MATCH($D738,products!$A$1:$A$49,0),MATCH(J$1,products!$A$1:$G$1,0))</f>
        <v>D</v>
      </c>
      <c r="K738" s="4">
        <f>INDEX(products!$A$1:$G$49,MATCH($D738,products!$A$1:$A$49,0),MATCH(K$1,products!$A$1:$G$1,0))</f>
        <v>1</v>
      </c>
      <c r="L738" s="5">
        <f>INDEX(products!$A$1:$G$49,MATCH($D738,products!$A$1:$A$49,0),MATCH(L$1,products!$A$1:$G$1,0))</f>
        <v>12.95</v>
      </c>
      <c r="M738" s="5">
        <f t="shared" si="34"/>
        <v>25.9</v>
      </c>
      <c r="N738" t="str">
        <f t="shared" si="36"/>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INDEX(products!$A$1:$G$49,MATCH($D739,products!$A$1:$A$49,0),MATCH(I$1,products!$A$1:$G$1,0))</f>
        <v>Ara</v>
      </c>
      <c r="J739" t="str">
        <f>INDEX(products!$A$1:$G$49,MATCH($D739,products!$A$1:$A$49,0),MATCH(J$1,products!$A$1:$G$1,0))</f>
        <v>M</v>
      </c>
      <c r="K739" s="4">
        <f>INDEX(products!$A$1:$G$49,MATCH($D739,products!$A$1:$A$49,0),MATCH(K$1,products!$A$1:$G$1,0))</f>
        <v>1</v>
      </c>
      <c r="L739" s="5">
        <f>INDEX(products!$A$1:$G$49,MATCH($D739,products!$A$1:$A$49,0),MATCH(L$1,products!$A$1:$G$1,0))</f>
        <v>11.25</v>
      </c>
      <c r="M739" s="5">
        <f t="shared" si="34"/>
        <v>56.25</v>
      </c>
      <c r="N739" t="str">
        <f t="shared" si="36"/>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INDEX(products!$A$1:$G$49,MATCH($D740,products!$A$1:$A$49,0),MATCH(I$1,products!$A$1:$G$1,0))</f>
        <v>Rob</v>
      </c>
      <c r="J740" t="str">
        <f>INDEX(products!$A$1:$G$49,MATCH($D740,products!$A$1:$A$49,0),MATCH(J$1,products!$A$1:$G$1,0))</f>
        <v>L</v>
      </c>
      <c r="K740" s="4">
        <f>INDEX(products!$A$1:$G$49,MATCH($D740,products!$A$1:$A$49,0),MATCH(K$1,products!$A$1:$G$1,0))</f>
        <v>0.2</v>
      </c>
      <c r="L740" s="5">
        <f>INDEX(products!$A$1:$G$49,MATCH($D740,products!$A$1:$A$49,0),MATCH(L$1,products!$A$1:$G$1,0))</f>
        <v>3.5849999999999995</v>
      </c>
      <c r="M740" s="5">
        <f t="shared" si="34"/>
        <v>10.754999999999999</v>
      </c>
      <c r="N740" t="str">
        <f t="shared" si="36"/>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INDEX(products!$A$1:$G$49,MATCH($D741,products!$A$1:$A$49,0),MATCH(I$1,products!$A$1:$G$1,0))</f>
        <v>Exc</v>
      </c>
      <c r="J741" t="str">
        <f>INDEX(products!$A$1:$G$49,MATCH($D741,products!$A$1:$A$49,0),MATCH(J$1,products!$A$1:$G$1,0))</f>
        <v>D</v>
      </c>
      <c r="K741" s="4">
        <f>INDEX(products!$A$1:$G$49,MATCH($D741,products!$A$1:$A$49,0),MATCH(K$1,products!$A$1:$G$1,0))</f>
        <v>0.2</v>
      </c>
      <c r="L741" s="5">
        <f>INDEX(products!$A$1:$G$49,MATCH($D741,products!$A$1:$A$49,0),MATCH(L$1,products!$A$1:$G$1,0))</f>
        <v>3.645</v>
      </c>
      <c r="M741" s="5">
        <f t="shared" si="34"/>
        <v>18.225000000000001</v>
      </c>
      <c r="N741" t="str">
        <f t="shared" si="36"/>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INDEX(products!$A$1:$G$49,MATCH($D742,products!$A$1:$A$49,0),MATCH(I$1,products!$A$1:$G$1,0))</f>
        <v>Rob</v>
      </c>
      <c r="J742" t="str">
        <f>INDEX(products!$A$1:$G$49,MATCH($D742,products!$A$1:$A$49,0),MATCH(J$1,products!$A$1:$G$1,0))</f>
        <v>L</v>
      </c>
      <c r="K742" s="4">
        <f>INDEX(products!$A$1:$G$49,MATCH($D742,products!$A$1:$A$49,0),MATCH(K$1,products!$A$1:$G$1,0))</f>
        <v>0.5</v>
      </c>
      <c r="L742" s="5">
        <f>INDEX(products!$A$1:$G$49,MATCH($D742,products!$A$1:$A$49,0),MATCH(L$1,products!$A$1:$G$1,0))</f>
        <v>7.169999999999999</v>
      </c>
      <c r="M742" s="5">
        <f t="shared" si="34"/>
        <v>28.679999999999996</v>
      </c>
      <c r="N742" t="str">
        <f t="shared" si="36"/>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INDEX(products!$A$1:$G$49,MATCH($D743,products!$A$1:$A$49,0),MATCH(I$1,products!$A$1:$G$1,0))</f>
        <v>Lib</v>
      </c>
      <c r="J743" t="str">
        <f>INDEX(products!$A$1:$G$49,MATCH($D743,products!$A$1:$A$49,0),MATCH(J$1,products!$A$1:$G$1,0))</f>
        <v>M</v>
      </c>
      <c r="K743" s="4">
        <f>INDEX(products!$A$1:$G$49,MATCH($D743,products!$A$1:$A$49,0),MATCH(K$1,products!$A$1:$G$1,0))</f>
        <v>0.2</v>
      </c>
      <c r="L743" s="5">
        <f>INDEX(products!$A$1:$G$49,MATCH($D743,products!$A$1:$A$49,0),MATCH(L$1,products!$A$1:$G$1,0))</f>
        <v>4.3650000000000002</v>
      </c>
      <c r="M743" s="5">
        <f t="shared" si="34"/>
        <v>8.73</v>
      </c>
      <c r="N743" t="str">
        <f t="shared" si="36"/>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INDEX(products!$A$1:$G$49,MATCH($D744,products!$A$1:$A$49,0),MATCH(I$1,products!$A$1:$G$1,0))</f>
        <v>Lib</v>
      </c>
      <c r="J744" t="str">
        <f>INDEX(products!$A$1:$G$49,MATCH($D744,products!$A$1:$A$49,0),MATCH(J$1,products!$A$1:$G$1,0))</f>
        <v>M</v>
      </c>
      <c r="K744" s="4">
        <f>INDEX(products!$A$1:$G$49,MATCH($D744,products!$A$1:$A$49,0),MATCH(K$1,products!$A$1:$G$1,0))</f>
        <v>1</v>
      </c>
      <c r="L744" s="5">
        <f>INDEX(products!$A$1:$G$49,MATCH($D744,products!$A$1:$A$49,0),MATCH(L$1,products!$A$1:$G$1,0))</f>
        <v>14.55</v>
      </c>
      <c r="M744" s="5">
        <f t="shared" si="34"/>
        <v>58.2</v>
      </c>
      <c r="N744" t="str">
        <f t="shared" si="36"/>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INDEX(products!$A$1:$G$49,MATCH($D745,products!$A$1:$A$49,0),MATCH(I$1,products!$A$1:$G$1,0))</f>
        <v>Ara</v>
      </c>
      <c r="J745" t="str">
        <f>INDEX(products!$A$1:$G$49,MATCH($D745,products!$A$1:$A$49,0),MATCH(J$1,products!$A$1:$G$1,0))</f>
        <v>D</v>
      </c>
      <c r="K745" s="4">
        <f>INDEX(products!$A$1:$G$49,MATCH($D745,products!$A$1:$A$49,0),MATCH(K$1,products!$A$1:$G$1,0))</f>
        <v>0.5</v>
      </c>
      <c r="L745" s="5">
        <f>INDEX(products!$A$1:$G$49,MATCH($D745,products!$A$1:$A$49,0),MATCH(L$1,products!$A$1:$G$1,0))</f>
        <v>5.97</v>
      </c>
      <c r="M745" s="5">
        <f t="shared" si="34"/>
        <v>17.91</v>
      </c>
      <c r="N745" t="str">
        <f t="shared" si="36"/>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f>
        <v>Samuele Klaaassen</v>
      </c>
      <c r="G746" s="2" t="str">
        <f>IF(_xlfn.XLOOKUP(C746,customers!$A$1:$A$1001,customers!$C$1:$C$1001,,0)=0,"",_xlfn.XLOOKUP(C746,customers!$A$1:$A$1001,customers!$C$1:$C$1001,,0))</f>
        <v/>
      </c>
      <c r="H746" s="2" t="str">
        <f>_xlfn.XLOOKUP(C746,customers!$A$1:$A$1001,customers!$G$1:$G$1001,,0)</f>
        <v>United States</v>
      </c>
      <c r="I746" t="str">
        <f>INDEX(products!$A$1:$G$49,MATCH($D746,products!$A$1:$A$49,0),MATCH(I$1,products!$A$1:$G$1,0))</f>
        <v>Rob</v>
      </c>
      <c r="J746" t="str">
        <f>INDEX(products!$A$1:$G$49,MATCH($D746,products!$A$1:$A$49,0),MATCH(J$1,products!$A$1:$G$1,0))</f>
        <v>M</v>
      </c>
      <c r="K746" s="4">
        <f>INDEX(products!$A$1:$G$49,MATCH($D746,products!$A$1:$A$49,0),MATCH(K$1,products!$A$1:$G$1,0))</f>
        <v>0.2</v>
      </c>
      <c r="L746" s="5">
        <f>INDEX(products!$A$1:$G$49,MATCH($D746,products!$A$1:$A$49,0),MATCH(L$1,products!$A$1:$G$1,0))</f>
        <v>2.9849999999999999</v>
      </c>
      <c r="M746" s="5">
        <f t="shared" si="34"/>
        <v>17.91</v>
      </c>
      <c r="N746" t="str">
        <f t="shared" si="36"/>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INDEX(products!$A$1:$G$49,MATCH($D747,products!$A$1:$A$49,0),MATCH(I$1,products!$A$1:$G$1,0))</f>
        <v>Exc</v>
      </c>
      <c r="J747" t="str">
        <f>INDEX(products!$A$1:$G$49,MATCH($D747,products!$A$1:$A$49,0),MATCH(J$1,products!$A$1:$G$1,0))</f>
        <v>D</v>
      </c>
      <c r="K747" s="4">
        <f>INDEX(products!$A$1:$G$49,MATCH($D747,products!$A$1:$A$49,0),MATCH(K$1,products!$A$1:$G$1,0))</f>
        <v>0.5</v>
      </c>
      <c r="L747" s="5">
        <f>INDEX(products!$A$1:$G$49,MATCH($D747,products!$A$1:$A$49,0),MATCH(L$1,products!$A$1:$G$1,0))</f>
        <v>7.29</v>
      </c>
      <c r="M747" s="5">
        <f t="shared" si="34"/>
        <v>14.58</v>
      </c>
      <c r="N747" t="str">
        <f t="shared" si="36"/>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INDEX(products!$A$1:$G$49,MATCH($D748,products!$A$1:$A$49,0),MATCH(I$1,products!$A$1:$G$1,0))</f>
        <v>Ara</v>
      </c>
      <c r="J748" t="str">
        <f>INDEX(products!$A$1:$G$49,MATCH($D748,products!$A$1:$A$49,0),MATCH(J$1,products!$A$1:$G$1,0))</f>
        <v>M</v>
      </c>
      <c r="K748" s="4">
        <f>INDEX(products!$A$1:$G$49,MATCH($D748,products!$A$1:$A$49,0),MATCH(K$1,products!$A$1:$G$1,0))</f>
        <v>1</v>
      </c>
      <c r="L748" s="5">
        <f>INDEX(products!$A$1:$G$49,MATCH($D748,products!$A$1:$A$49,0),MATCH(L$1,products!$A$1:$G$1,0))</f>
        <v>11.25</v>
      </c>
      <c r="M748" s="5">
        <f t="shared" si="34"/>
        <v>33.75</v>
      </c>
      <c r="N748" t="str">
        <f t="shared" si="36"/>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INDEX(products!$A$1:$G$49,MATCH($D749,products!$A$1:$A$49,0),MATCH(I$1,products!$A$1:$G$1,0))</f>
        <v>Lib</v>
      </c>
      <c r="J749" t="str">
        <f>INDEX(products!$A$1:$G$49,MATCH($D749,products!$A$1:$A$49,0),MATCH(J$1,products!$A$1:$G$1,0))</f>
        <v>M</v>
      </c>
      <c r="K749" s="4">
        <f>INDEX(products!$A$1:$G$49,MATCH($D749,products!$A$1:$A$49,0),MATCH(K$1,products!$A$1:$G$1,0))</f>
        <v>0.5</v>
      </c>
      <c r="L749" s="5">
        <f>INDEX(products!$A$1:$G$49,MATCH($D749,products!$A$1:$A$49,0),MATCH(L$1,products!$A$1:$G$1,0))</f>
        <v>8.73</v>
      </c>
      <c r="M749" s="5">
        <f t="shared" si="34"/>
        <v>34.92</v>
      </c>
      <c r="N749" t="str">
        <f t="shared" si="36"/>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INDEX(products!$A$1:$G$49,MATCH($D750,products!$A$1:$A$49,0),MATCH(I$1,products!$A$1:$G$1,0))</f>
        <v>Exc</v>
      </c>
      <c r="J750" t="str">
        <f>INDEX(products!$A$1:$G$49,MATCH($D750,products!$A$1:$A$49,0),MATCH(J$1,products!$A$1:$G$1,0))</f>
        <v>D</v>
      </c>
      <c r="K750" s="4">
        <f>INDEX(products!$A$1:$G$49,MATCH($D750,products!$A$1:$A$49,0),MATCH(K$1,products!$A$1:$G$1,0))</f>
        <v>0.5</v>
      </c>
      <c r="L750" s="5">
        <f>INDEX(products!$A$1:$G$49,MATCH($D750,products!$A$1:$A$49,0),MATCH(L$1,products!$A$1:$G$1,0))</f>
        <v>7.29</v>
      </c>
      <c r="M750" s="5">
        <f t="shared" si="34"/>
        <v>14.58</v>
      </c>
      <c r="N750" t="str">
        <f t="shared" si="36"/>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INDEX(products!$A$1:$G$49,MATCH($D751,products!$A$1:$A$49,0),MATCH(I$1,products!$A$1:$G$1,0))</f>
        <v>Rob</v>
      </c>
      <c r="J751" t="str">
        <f>INDEX(products!$A$1:$G$49,MATCH($D751,products!$A$1:$A$49,0),MATCH(J$1,products!$A$1:$G$1,0))</f>
        <v>D</v>
      </c>
      <c r="K751" s="4">
        <f>INDEX(products!$A$1:$G$49,MATCH($D751,products!$A$1:$A$49,0),MATCH(K$1,products!$A$1:$G$1,0))</f>
        <v>0.2</v>
      </c>
      <c r="L751" s="5">
        <f>INDEX(products!$A$1:$G$49,MATCH($D751,products!$A$1:$A$49,0),MATCH(L$1,products!$A$1:$G$1,0))</f>
        <v>2.6849999999999996</v>
      </c>
      <c r="M751" s="5">
        <f t="shared" si="34"/>
        <v>5.3699999999999992</v>
      </c>
      <c r="N751" t="str">
        <f t="shared" si="36"/>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f>
        <v>Hazel Iacopini</v>
      </c>
      <c r="G752" s="2" t="str">
        <f>IF(_xlfn.XLOOKUP(C752,customers!$A$1:$A$1001,customers!$C$1:$C$1001,,0)=0,"",_xlfn.XLOOKUP(C752,customers!$A$1:$A$1001,customers!$C$1:$C$1001,,0))</f>
        <v/>
      </c>
      <c r="H752" s="2" t="str">
        <f>_xlfn.XLOOKUP(C752,customers!$A$1:$A$1001,customers!$G$1:$G$1001,,0)</f>
        <v>United States</v>
      </c>
      <c r="I752" t="str">
        <f>INDEX(products!$A$1:$G$49,MATCH($D752,products!$A$1:$A$49,0),MATCH(I$1,products!$A$1:$G$1,0))</f>
        <v>Rob</v>
      </c>
      <c r="J752" t="str">
        <f>INDEX(products!$A$1:$G$49,MATCH($D752,products!$A$1:$A$49,0),MATCH(J$1,products!$A$1:$G$1,0))</f>
        <v>M</v>
      </c>
      <c r="K752" s="4">
        <f>INDEX(products!$A$1:$G$49,MATCH($D752,products!$A$1:$A$49,0),MATCH(K$1,products!$A$1:$G$1,0))</f>
        <v>0.5</v>
      </c>
      <c r="L752" s="5">
        <f>INDEX(products!$A$1:$G$49,MATCH($D752,products!$A$1:$A$49,0),MATCH(L$1,products!$A$1:$G$1,0))</f>
        <v>5.97</v>
      </c>
      <c r="M752" s="5">
        <f t="shared" si="34"/>
        <v>5.97</v>
      </c>
      <c r="N752" t="str">
        <f t="shared" si="36"/>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INDEX(products!$A$1:$G$49,MATCH($D753,products!$A$1:$A$49,0),MATCH(I$1,products!$A$1:$G$1,0))</f>
        <v>Lib</v>
      </c>
      <c r="J753" t="str">
        <f>INDEX(products!$A$1:$G$49,MATCH($D753,products!$A$1:$A$49,0),MATCH(J$1,products!$A$1:$G$1,0))</f>
        <v>L</v>
      </c>
      <c r="K753" s="4">
        <f>INDEX(products!$A$1:$G$49,MATCH($D753,products!$A$1:$A$49,0),MATCH(K$1,products!$A$1:$G$1,0))</f>
        <v>0.5</v>
      </c>
      <c r="L753" s="5">
        <f>INDEX(products!$A$1:$G$49,MATCH($D753,products!$A$1:$A$49,0),MATCH(L$1,products!$A$1:$G$1,0))</f>
        <v>9.51</v>
      </c>
      <c r="M753" s="5">
        <f t="shared" si="34"/>
        <v>19.02</v>
      </c>
      <c r="N753" t="str">
        <f t="shared" si="36"/>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INDEX(products!$A$1:$G$49,MATCH($D754,products!$A$1:$A$49,0),MATCH(I$1,products!$A$1:$G$1,0))</f>
        <v>Exc</v>
      </c>
      <c r="J754" t="str">
        <f>INDEX(products!$A$1:$G$49,MATCH($D754,products!$A$1:$A$49,0),MATCH(J$1,products!$A$1:$G$1,0))</f>
        <v>M</v>
      </c>
      <c r="K754" s="4">
        <f>INDEX(products!$A$1:$G$49,MATCH($D754,products!$A$1:$A$49,0),MATCH(K$1,products!$A$1:$G$1,0))</f>
        <v>1</v>
      </c>
      <c r="L754" s="5">
        <f>INDEX(products!$A$1:$G$49,MATCH($D754,products!$A$1:$A$49,0),MATCH(L$1,products!$A$1:$G$1,0))</f>
        <v>13.75</v>
      </c>
      <c r="M754" s="5">
        <f t="shared" si="34"/>
        <v>27.5</v>
      </c>
      <c r="N754" t="str">
        <f t="shared" si="36"/>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INDEX(products!$A$1:$G$49,MATCH($D755,products!$A$1:$A$49,0),MATCH(I$1,products!$A$1:$G$1,0))</f>
        <v>Ara</v>
      </c>
      <c r="J755" t="str">
        <f>INDEX(products!$A$1:$G$49,MATCH($D755,products!$A$1:$A$49,0),MATCH(J$1,products!$A$1:$G$1,0))</f>
        <v>D</v>
      </c>
      <c r="K755" s="4">
        <f>INDEX(products!$A$1:$G$49,MATCH($D755,products!$A$1:$A$49,0),MATCH(K$1,products!$A$1:$G$1,0))</f>
        <v>0.5</v>
      </c>
      <c r="L755" s="5">
        <f>INDEX(products!$A$1:$G$49,MATCH($D755,products!$A$1:$A$49,0),MATCH(L$1,products!$A$1:$G$1,0))</f>
        <v>5.97</v>
      </c>
      <c r="M755" s="5">
        <f t="shared" si="34"/>
        <v>29.849999999999998</v>
      </c>
      <c r="N755" t="str">
        <f t="shared" si="36"/>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INDEX(products!$A$1:$G$49,MATCH($D756,products!$A$1:$A$49,0),MATCH(I$1,products!$A$1:$G$1,0))</f>
        <v>Ara</v>
      </c>
      <c r="J756" t="str">
        <f>INDEX(products!$A$1:$G$49,MATCH($D756,products!$A$1:$A$49,0),MATCH(J$1,products!$A$1:$G$1,0))</f>
        <v>D</v>
      </c>
      <c r="K756" s="4">
        <f>INDEX(products!$A$1:$G$49,MATCH($D756,products!$A$1:$A$49,0),MATCH(K$1,products!$A$1:$G$1,0))</f>
        <v>0.2</v>
      </c>
      <c r="L756" s="5">
        <f>INDEX(products!$A$1:$G$49,MATCH($D756,products!$A$1:$A$49,0),MATCH(L$1,products!$A$1:$G$1,0))</f>
        <v>2.9849999999999999</v>
      </c>
      <c r="M756" s="5">
        <f t="shared" si="34"/>
        <v>17.91</v>
      </c>
      <c r="N756" t="str">
        <f t="shared" si="36"/>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INDEX(products!$A$1:$G$49,MATCH($D757,products!$A$1:$A$49,0),MATCH(I$1,products!$A$1:$G$1,0))</f>
        <v>Lib</v>
      </c>
      <c r="J757" t="str">
        <f>INDEX(products!$A$1:$G$49,MATCH($D757,products!$A$1:$A$49,0),MATCH(J$1,products!$A$1:$G$1,0))</f>
        <v>L</v>
      </c>
      <c r="K757" s="4">
        <f>INDEX(products!$A$1:$G$49,MATCH($D757,products!$A$1:$A$49,0),MATCH(K$1,products!$A$1:$G$1,0))</f>
        <v>0.2</v>
      </c>
      <c r="L757" s="5">
        <f>INDEX(products!$A$1:$G$49,MATCH($D757,products!$A$1:$A$49,0),MATCH(L$1,products!$A$1:$G$1,0))</f>
        <v>4.7549999999999999</v>
      </c>
      <c r="M757" s="5">
        <f t="shared" si="34"/>
        <v>28.53</v>
      </c>
      <c r="N757" t="str">
        <f t="shared" si="36"/>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INDEX(products!$A$1:$G$49,MATCH($D758,products!$A$1:$A$49,0),MATCH(I$1,products!$A$1:$G$1,0))</f>
        <v>Rob</v>
      </c>
      <c r="J758" t="str">
        <f>INDEX(products!$A$1:$G$49,MATCH($D758,products!$A$1:$A$49,0),MATCH(J$1,products!$A$1:$G$1,0))</f>
        <v>D</v>
      </c>
      <c r="K758" s="4">
        <f>INDEX(products!$A$1:$G$49,MATCH($D758,products!$A$1:$A$49,0),MATCH(K$1,products!$A$1:$G$1,0))</f>
        <v>1</v>
      </c>
      <c r="L758" s="5">
        <f>INDEX(products!$A$1:$G$49,MATCH($D758,products!$A$1:$A$49,0),MATCH(L$1,products!$A$1:$G$1,0))</f>
        <v>8.9499999999999993</v>
      </c>
      <c r="M758" s="5">
        <f t="shared" si="34"/>
        <v>35.799999999999997</v>
      </c>
      <c r="N758" t="str">
        <f t="shared" si="36"/>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INDEX(products!$A$1:$G$49,MATCH($D759,products!$A$1:$A$49,0),MATCH(I$1,products!$A$1:$G$1,0))</f>
        <v>Ara</v>
      </c>
      <c r="J759" t="str">
        <f>INDEX(products!$A$1:$G$49,MATCH($D759,products!$A$1:$A$49,0),MATCH(J$1,products!$A$1:$G$1,0))</f>
        <v>D</v>
      </c>
      <c r="K759" s="4">
        <f>INDEX(products!$A$1:$G$49,MATCH($D759,products!$A$1:$A$49,0),MATCH(K$1,products!$A$1:$G$1,0))</f>
        <v>0.5</v>
      </c>
      <c r="L759" s="5">
        <f>INDEX(products!$A$1:$G$49,MATCH($D759,products!$A$1:$A$49,0),MATCH(L$1,products!$A$1:$G$1,0))</f>
        <v>5.97</v>
      </c>
      <c r="M759" s="5">
        <f t="shared" si="34"/>
        <v>17.91</v>
      </c>
      <c r="N759" t="str">
        <f t="shared" si="36"/>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INDEX(products!$A$1:$G$49,MATCH($D760,products!$A$1:$A$49,0),MATCH(I$1,products!$A$1:$G$1,0))</f>
        <v>Rob</v>
      </c>
      <c r="J760" t="str">
        <f>INDEX(products!$A$1:$G$49,MATCH($D760,products!$A$1:$A$49,0),MATCH(J$1,products!$A$1:$G$1,0))</f>
        <v>D</v>
      </c>
      <c r="K760" s="4">
        <f>INDEX(products!$A$1:$G$49,MATCH($D760,products!$A$1:$A$49,0),MATCH(K$1,products!$A$1:$G$1,0))</f>
        <v>1</v>
      </c>
      <c r="L760" s="5">
        <f>INDEX(products!$A$1:$G$49,MATCH($D760,products!$A$1:$A$49,0),MATCH(L$1,products!$A$1:$G$1,0))</f>
        <v>8.9499999999999993</v>
      </c>
      <c r="M760" s="5">
        <f t="shared" si="34"/>
        <v>8.9499999999999993</v>
      </c>
      <c r="N760" t="str">
        <f t="shared" si="36"/>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INDEX(products!$A$1:$G$49,MATCH($D761,products!$A$1:$A$49,0),MATCH(I$1,products!$A$1:$G$1,0))</f>
        <v>Lib</v>
      </c>
      <c r="J761" t="str">
        <f>INDEX(products!$A$1:$G$49,MATCH($D761,products!$A$1:$A$49,0),MATCH(J$1,products!$A$1:$G$1,0))</f>
        <v>D</v>
      </c>
      <c r="K761" s="4">
        <f>INDEX(products!$A$1:$G$49,MATCH($D761,products!$A$1:$A$49,0),MATCH(K$1,products!$A$1:$G$1,0))</f>
        <v>2.5</v>
      </c>
      <c r="L761" s="5">
        <f>INDEX(products!$A$1:$G$49,MATCH($D761,products!$A$1:$A$49,0),MATCH(L$1,products!$A$1:$G$1,0))</f>
        <v>29.784999999999997</v>
      </c>
      <c r="M761" s="5">
        <f t="shared" si="34"/>
        <v>29.784999999999997</v>
      </c>
      <c r="N761" t="str">
        <f t="shared" si="36"/>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INDEX(products!$A$1:$G$49,MATCH($D762,products!$A$1:$A$49,0),MATCH(I$1,products!$A$1:$G$1,0))</f>
        <v>Exc</v>
      </c>
      <c r="J762" t="str">
        <f>INDEX(products!$A$1:$G$49,MATCH($D762,products!$A$1:$A$49,0),MATCH(J$1,products!$A$1:$G$1,0))</f>
        <v>L</v>
      </c>
      <c r="K762" s="4">
        <f>INDEX(products!$A$1:$G$49,MATCH($D762,products!$A$1:$A$49,0),MATCH(K$1,products!$A$1:$G$1,0))</f>
        <v>0.5</v>
      </c>
      <c r="L762" s="5">
        <f>INDEX(products!$A$1:$G$49,MATCH($D762,products!$A$1:$A$49,0),MATCH(L$1,products!$A$1:$G$1,0))</f>
        <v>8.91</v>
      </c>
      <c r="M762" s="5">
        <f t="shared" si="34"/>
        <v>44.55</v>
      </c>
      <c r="N762" t="str">
        <f t="shared" si="36"/>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INDEX(products!$A$1:$G$49,MATCH($D763,products!$A$1:$A$49,0),MATCH(I$1,products!$A$1:$G$1,0))</f>
        <v>Exc</v>
      </c>
      <c r="J763" t="str">
        <f>INDEX(products!$A$1:$G$49,MATCH($D763,products!$A$1:$A$49,0),MATCH(J$1,products!$A$1:$G$1,0))</f>
        <v>L</v>
      </c>
      <c r="K763" s="4">
        <f>INDEX(products!$A$1:$G$49,MATCH($D763,products!$A$1:$A$49,0),MATCH(K$1,products!$A$1:$G$1,0))</f>
        <v>1</v>
      </c>
      <c r="L763" s="5">
        <f>INDEX(products!$A$1:$G$49,MATCH($D763,products!$A$1:$A$49,0),MATCH(L$1,products!$A$1:$G$1,0))</f>
        <v>14.85</v>
      </c>
      <c r="M763" s="5">
        <f t="shared" si="34"/>
        <v>89.1</v>
      </c>
      <c r="N763" t="str">
        <f t="shared" si="36"/>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INDEX(products!$A$1:$G$49,MATCH($D764,products!$A$1:$A$49,0),MATCH(I$1,products!$A$1:$G$1,0))</f>
        <v>Lib</v>
      </c>
      <c r="J764" t="str">
        <f>INDEX(products!$A$1:$G$49,MATCH($D764,products!$A$1:$A$49,0),MATCH(J$1,products!$A$1:$G$1,0))</f>
        <v>M</v>
      </c>
      <c r="K764" s="4">
        <f>INDEX(products!$A$1:$G$49,MATCH($D764,products!$A$1:$A$49,0),MATCH(K$1,products!$A$1:$G$1,0))</f>
        <v>0.5</v>
      </c>
      <c r="L764" s="5">
        <f>INDEX(products!$A$1:$G$49,MATCH($D764,products!$A$1:$A$49,0),MATCH(L$1,products!$A$1:$G$1,0))</f>
        <v>8.73</v>
      </c>
      <c r="M764" s="5">
        <f t="shared" si="34"/>
        <v>43.650000000000006</v>
      </c>
      <c r="N764" t="str">
        <f t="shared" si="36"/>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f>
        <v>Sarajane Potter</v>
      </c>
      <c r="G765" s="2" t="str">
        <f>IF(_xlfn.XLOOKUP(C765,customers!$A$1:$A$1001,customers!$C$1:$C$1001,,0)=0,"",_xlfn.XLOOKUP(C765,customers!$A$1:$A$1001,customers!$C$1:$C$1001,,0))</f>
        <v/>
      </c>
      <c r="H765" s="2" t="str">
        <f>_xlfn.XLOOKUP(C765,customers!$A$1:$A$1001,customers!$G$1:$G$1001,,0)</f>
        <v>United States</v>
      </c>
      <c r="I765" t="str">
        <f>INDEX(products!$A$1:$G$49,MATCH($D765,products!$A$1:$A$49,0),MATCH(I$1,products!$A$1:$G$1,0))</f>
        <v>Ara</v>
      </c>
      <c r="J765" t="str">
        <f>INDEX(products!$A$1:$G$49,MATCH($D765,products!$A$1:$A$49,0),MATCH(J$1,products!$A$1:$G$1,0))</f>
        <v>L</v>
      </c>
      <c r="K765" s="4">
        <f>INDEX(products!$A$1:$G$49,MATCH($D765,products!$A$1:$A$49,0),MATCH(K$1,products!$A$1:$G$1,0))</f>
        <v>0.5</v>
      </c>
      <c r="L765" s="5">
        <f>INDEX(products!$A$1:$G$49,MATCH($D765,products!$A$1:$A$49,0),MATCH(L$1,products!$A$1:$G$1,0))</f>
        <v>7.77</v>
      </c>
      <c r="M765" s="5">
        <f t="shared" si="34"/>
        <v>23.31</v>
      </c>
      <c r="N765" t="str">
        <f t="shared" si="36"/>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INDEX(products!$A$1:$G$49,MATCH($D766,products!$A$1:$A$49,0),MATCH(I$1,products!$A$1:$G$1,0))</f>
        <v>Ara</v>
      </c>
      <c r="J766" t="str">
        <f>INDEX(products!$A$1:$G$49,MATCH($D766,products!$A$1:$A$49,0),MATCH(J$1,products!$A$1:$G$1,0))</f>
        <v>L</v>
      </c>
      <c r="K766" s="4">
        <f>INDEX(products!$A$1:$G$49,MATCH($D766,products!$A$1:$A$49,0),MATCH(K$1,products!$A$1:$G$1,0))</f>
        <v>2.5</v>
      </c>
      <c r="L766" s="5">
        <f>INDEX(products!$A$1:$G$49,MATCH($D766,products!$A$1:$A$49,0),MATCH(L$1,products!$A$1:$G$1,0))</f>
        <v>29.784999999999997</v>
      </c>
      <c r="M766" s="5">
        <f t="shared" si="34"/>
        <v>178.70999999999998</v>
      </c>
      <c r="N766" t="str">
        <f t="shared" si="36"/>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INDEX(products!$A$1:$G$49,MATCH($D767,products!$A$1:$A$49,0),MATCH(I$1,products!$A$1:$G$1,0))</f>
        <v>Rob</v>
      </c>
      <c r="J767" t="str">
        <f>INDEX(products!$A$1:$G$49,MATCH($D767,products!$A$1:$A$49,0),MATCH(J$1,products!$A$1:$G$1,0))</f>
        <v>M</v>
      </c>
      <c r="K767" s="4">
        <f>INDEX(products!$A$1:$G$49,MATCH($D767,products!$A$1:$A$49,0),MATCH(K$1,products!$A$1:$G$1,0))</f>
        <v>1</v>
      </c>
      <c r="L767" s="5">
        <f>INDEX(products!$A$1:$G$49,MATCH($D767,products!$A$1:$A$49,0),MATCH(L$1,products!$A$1:$G$1,0))</f>
        <v>9.9499999999999993</v>
      </c>
      <c r="M767" s="5">
        <f t="shared" si="34"/>
        <v>59.699999999999996</v>
      </c>
      <c r="N767" t="str">
        <f t="shared" si="36"/>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INDEX(products!$A$1:$G$49,MATCH($D768,products!$A$1:$A$49,0),MATCH(I$1,products!$A$1:$G$1,0))</f>
        <v>Ara</v>
      </c>
      <c r="J768" t="str">
        <f>INDEX(products!$A$1:$G$49,MATCH($D768,products!$A$1:$A$49,0),MATCH(J$1,products!$A$1:$G$1,0))</f>
        <v>L</v>
      </c>
      <c r="K768" s="4">
        <f>INDEX(products!$A$1:$G$49,MATCH($D768,products!$A$1:$A$49,0),MATCH(K$1,products!$A$1:$G$1,0))</f>
        <v>0.5</v>
      </c>
      <c r="L768" s="5">
        <f>INDEX(products!$A$1:$G$49,MATCH($D768,products!$A$1:$A$49,0),MATCH(L$1,products!$A$1:$G$1,0))</f>
        <v>7.77</v>
      </c>
      <c r="M768" s="5">
        <f t="shared" si="34"/>
        <v>15.54</v>
      </c>
      <c r="N768" t="str">
        <f t="shared" si="36"/>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INDEX(products!$A$1:$G$49,MATCH($D769,products!$A$1:$A$49,0),MATCH(I$1,products!$A$1:$G$1,0))</f>
        <v>Ara</v>
      </c>
      <c r="J769" t="str">
        <f>INDEX(products!$A$1:$G$49,MATCH($D769,products!$A$1:$A$49,0),MATCH(J$1,products!$A$1:$G$1,0))</f>
        <v>L</v>
      </c>
      <c r="K769" s="4">
        <f>INDEX(products!$A$1:$G$49,MATCH($D769,products!$A$1:$A$49,0),MATCH(K$1,products!$A$1:$G$1,0))</f>
        <v>2.5</v>
      </c>
      <c r="L769" s="5">
        <f>INDEX(products!$A$1:$G$49,MATCH($D769,products!$A$1:$A$49,0),MATCH(L$1,products!$A$1:$G$1,0))</f>
        <v>29.784999999999997</v>
      </c>
      <c r="M769" s="5">
        <f t="shared" si="34"/>
        <v>89.35499999999999</v>
      </c>
      <c r="N769" t="str">
        <f t="shared" si="36"/>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INDEX(products!$A$1:$G$49,MATCH($D770,products!$A$1:$A$49,0),MATCH(I$1,products!$A$1:$G$1,0))</f>
        <v>Rob</v>
      </c>
      <c r="J770" t="str">
        <f>INDEX(products!$A$1:$G$49,MATCH($D770,products!$A$1:$A$49,0),MATCH(J$1,products!$A$1:$G$1,0))</f>
        <v>L</v>
      </c>
      <c r="K770" s="4">
        <f>INDEX(products!$A$1:$G$49,MATCH($D770,products!$A$1:$A$49,0),MATCH(K$1,products!$A$1:$G$1,0))</f>
        <v>1</v>
      </c>
      <c r="L770" s="5">
        <f>INDEX(products!$A$1:$G$49,MATCH($D770,products!$A$1:$A$49,0),MATCH(L$1,products!$A$1:$G$1,0))</f>
        <v>11.95</v>
      </c>
      <c r="M770" s="5">
        <f t="shared" si="34"/>
        <v>23.9</v>
      </c>
      <c r="N770" t="str">
        <f t="shared" si="36"/>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INDEX(products!$A$1:$G$49,MATCH($D771,products!$A$1:$A$49,0),MATCH(I$1,products!$A$1:$G$1,0))</f>
        <v>Rob</v>
      </c>
      <c r="J771" t="str">
        <f>INDEX(products!$A$1:$G$49,MATCH($D771,products!$A$1:$A$49,0),MATCH(J$1,products!$A$1:$G$1,0))</f>
        <v>M</v>
      </c>
      <c r="K771" s="4">
        <f>INDEX(products!$A$1:$G$49,MATCH($D771,products!$A$1:$A$49,0),MATCH(K$1,products!$A$1:$G$1,0))</f>
        <v>2.5</v>
      </c>
      <c r="L771" s="5">
        <f>INDEX(products!$A$1:$G$49,MATCH($D771,products!$A$1:$A$49,0),MATCH(L$1,products!$A$1:$G$1,0))</f>
        <v>22.884999999999998</v>
      </c>
      <c r="M771" s="5">
        <f t="shared" ref="M771:M834" si="37">L771*E771</f>
        <v>137.31</v>
      </c>
      <c r="N771" t="str">
        <f t="shared" si="36"/>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INDEX(products!$A$1:$G$49,MATCH($D772,products!$A$1:$A$49,0),MATCH(I$1,products!$A$1:$G$1,0))</f>
        <v>Ara</v>
      </c>
      <c r="J772" t="str">
        <f>INDEX(products!$A$1:$G$49,MATCH($D772,products!$A$1:$A$49,0),MATCH(J$1,products!$A$1:$G$1,0))</f>
        <v>D</v>
      </c>
      <c r="K772" s="4">
        <f>INDEX(products!$A$1:$G$49,MATCH($D772,products!$A$1:$A$49,0),MATCH(K$1,products!$A$1:$G$1,0))</f>
        <v>1</v>
      </c>
      <c r="L772" s="5">
        <f>INDEX(products!$A$1:$G$49,MATCH($D772,products!$A$1:$A$49,0),MATCH(L$1,products!$A$1:$G$1,0))</f>
        <v>9.9499999999999993</v>
      </c>
      <c r="M772" s="5">
        <f t="shared" si="37"/>
        <v>9.9499999999999993</v>
      </c>
      <c r="N772" t="str">
        <f t="shared" si="36"/>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INDEX(products!$A$1:$G$49,MATCH($D773,products!$A$1:$A$49,0),MATCH(I$1,products!$A$1:$G$1,0))</f>
        <v>Rob</v>
      </c>
      <c r="J773" t="str">
        <f>INDEX(products!$A$1:$G$49,MATCH($D773,products!$A$1:$A$49,0),MATCH(J$1,products!$A$1:$G$1,0))</f>
        <v>L</v>
      </c>
      <c r="K773" s="4">
        <f>INDEX(products!$A$1:$G$49,MATCH($D773,products!$A$1:$A$49,0),MATCH(K$1,products!$A$1:$G$1,0))</f>
        <v>0.5</v>
      </c>
      <c r="L773" s="5">
        <f>INDEX(products!$A$1:$G$49,MATCH($D773,products!$A$1:$A$49,0),MATCH(L$1,products!$A$1:$G$1,0))</f>
        <v>7.169999999999999</v>
      </c>
      <c r="M773" s="5">
        <f t="shared" si="37"/>
        <v>21.509999999999998</v>
      </c>
      <c r="N773" t="str">
        <f t="shared" si="36"/>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f>
        <v>Mellisa Mebes</v>
      </c>
      <c r="G774" s="2" t="str">
        <f>IF(_xlfn.XLOOKUP(C774,customers!$A$1:$A$1001,customers!$C$1:$C$1001,,0)=0,"",_xlfn.XLOOKUP(C774,customers!$A$1:$A$1001,customers!$C$1:$C$1001,,0))</f>
        <v/>
      </c>
      <c r="H774" s="2" t="str">
        <f>_xlfn.XLOOKUP(C774,customers!$A$1:$A$1001,customers!$G$1:$G$1001,,0)</f>
        <v>United States</v>
      </c>
      <c r="I774" t="str">
        <f>INDEX(products!$A$1:$G$49,MATCH($D774,products!$A$1:$A$49,0),MATCH(I$1,products!$A$1:$G$1,0))</f>
        <v>Exc</v>
      </c>
      <c r="J774" t="str">
        <f>INDEX(products!$A$1:$G$49,MATCH($D774,products!$A$1:$A$49,0),MATCH(J$1,products!$A$1:$G$1,0))</f>
        <v>M</v>
      </c>
      <c r="K774" s="4">
        <f>INDEX(products!$A$1:$G$49,MATCH($D774,products!$A$1:$A$49,0),MATCH(K$1,products!$A$1:$G$1,0))</f>
        <v>1</v>
      </c>
      <c r="L774" s="5">
        <f>INDEX(products!$A$1:$G$49,MATCH($D774,products!$A$1:$A$49,0),MATCH(L$1,products!$A$1:$G$1,0))</f>
        <v>13.75</v>
      </c>
      <c r="M774" s="5">
        <f t="shared" si="37"/>
        <v>82.5</v>
      </c>
      <c r="N774" t="str">
        <f t="shared" si="36"/>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INDEX(products!$A$1:$G$49,MATCH($D775,products!$A$1:$A$49,0),MATCH(I$1,products!$A$1:$G$1,0))</f>
        <v>Lib</v>
      </c>
      <c r="J775" t="str">
        <f>INDEX(products!$A$1:$G$49,MATCH($D775,products!$A$1:$A$49,0),MATCH(J$1,products!$A$1:$G$1,0))</f>
        <v>M</v>
      </c>
      <c r="K775" s="4">
        <f>INDEX(products!$A$1:$G$49,MATCH($D775,products!$A$1:$A$49,0),MATCH(K$1,products!$A$1:$G$1,0))</f>
        <v>0.2</v>
      </c>
      <c r="L775" s="5">
        <f>INDEX(products!$A$1:$G$49,MATCH($D775,products!$A$1:$A$49,0),MATCH(L$1,products!$A$1:$G$1,0))</f>
        <v>4.3650000000000002</v>
      </c>
      <c r="M775" s="5">
        <f t="shared" si="37"/>
        <v>8.73</v>
      </c>
      <c r="N775" t="str">
        <f t="shared" ref="N775:N838" si="39">IF(I775="Rob","Robusta",IF(I775="Ara","Arabica",IF(I775="Exc","Excelsa",IF(I775="Lib","Liberica",""))))</f>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f>
        <v>Dorette Hinemoor</v>
      </c>
      <c r="G776" s="2" t="str">
        <f>IF(_xlfn.XLOOKUP(C776,customers!$A$1:$A$1001,customers!$C$1:$C$1001,,0)=0,"",_xlfn.XLOOKUP(C776,customers!$A$1:$A$1001,customers!$C$1:$C$1001,,0))</f>
        <v/>
      </c>
      <c r="H776" s="2" t="str">
        <f>_xlfn.XLOOKUP(C776,customers!$A$1:$A$1001,customers!$G$1:$G$1001,,0)</f>
        <v>United States</v>
      </c>
      <c r="I776" t="str">
        <f>INDEX(products!$A$1:$G$49,MATCH($D776,products!$A$1:$A$49,0),MATCH(I$1,products!$A$1:$G$1,0))</f>
        <v>Rob</v>
      </c>
      <c r="J776" t="str">
        <f>INDEX(products!$A$1:$G$49,MATCH($D776,products!$A$1:$A$49,0),MATCH(J$1,products!$A$1:$G$1,0))</f>
        <v>M</v>
      </c>
      <c r="K776" s="4">
        <f>INDEX(products!$A$1:$G$49,MATCH($D776,products!$A$1:$A$49,0),MATCH(K$1,products!$A$1:$G$1,0))</f>
        <v>1</v>
      </c>
      <c r="L776" s="5">
        <f>INDEX(products!$A$1:$G$49,MATCH($D776,products!$A$1:$A$49,0),MATCH(L$1,products!$A$1:$G$1,0))</f>
        <v>9.9499999999999993</v>
      </c>
      <c r="M776" s="5">
        <f t="shared" si="37"/>
        <v>19.899999999999999</v>
      </c>
      <c r="N776" t="str">
        <f t="shared" si="39"/>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INDEX(products!$A$1:$G$49,MATCH($D777,products!$A$1:$A$49,0),MATCH(I$1,products!$A$1:$G$1,0))</f>
        <v>Exc</v>
      </c>
      <c r="J777" t="str">
        <f>INDEX(products!$A$1:$G$49,MATCH($D777,products!$A$1:$A$49,0),MATCH(J$1,products!$A$1:$G$1,0))</f>
        <v>L</v>
      </c>
      <c r="K777" s="4">
        <f>INDEX(products!$A$1:$G$49,MATCH($D777,products!$A$1:$A$49,0),MATCH(K$1,products!$A$1:$G$1,0))</f>
        <v>0.5</v>
      </c>
      <c r="L777" s="5">
        <f>INDEX(products!$A$1:$G$49,MATCH($D777,products!$A$1:$A$49,0),MATCH(L$1,products!$A$1:$G$1,0))</f>
        <v>8.91</v>
      </c>
      <c r="M777" s="5">
        <f t="shared" si="37"/>
        <v>17.82</v>
      </c>
      <c r="N777" t="str">
        <f t="shared" si="39"/>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INDEX(products!$A$1:$G$49,MATCH($D778,products!$A$1:$A$49,0),MATCH(I$1,products!$A$1:$G$1,0))</f>
        <v>Ara</v>
      </c>
      <c r="J778" t="str">
        <f>INDEX(products!$A$1:$G$49,MATCH($D778,products!$A$1:$A$49,0),MATCH(J$1,products!$A$1:$G$1,0))</f>
        <v>M</v>
      </c>
      <c r="K778" s="4">
        <f>INDEX(products!$A$1:$G$49,MATCH($D778,products!$A$1:$A$49,0),MATCH(K$1,products!$A$1:$G$1,0))</f>
        <v>0.5</v>
      </c>
      <c r="L778" s="5">
        <f>INDEX(products!$A$1:$G$49,MATCH($D778,products!$A$1:$A$49,0),MATCH(L$1,products!$A$1:$G$1,0))</f>
        <v>6.75</v>
      </c>
      <c r="M778" s="5">
        <f t="shared" si="37"/>
        <v>20.25</v>
      </c>
      <c r="N778" t="str">
        <f t="shared" si="39"/>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INDEX(products!$A$1:$G$49,MATCH($D779,products!$A$1:$A$49,0),MATCH(I$1,products!$A$1:$G$1,0))</f>
        <v>Ara</v>
      </c>
      <c r="J779" t="str">
        <f>INDEX(products!$A$1:$G$49,MATCH($D779,products!$A$1:$A$49,0),MATCH(J$1,products!$A$1:$G$1,0))</f>
        <v>L</v>
      </c>
      <c r="K779" s="4">
        <f>INDEX(products!$A$1:$G$49,MATCH($D779,products!$A$1:$A$49,0),MATCH(K$1,products!$A$1:$G$1,0))</f>
        <v>2.5</v>
      </c>
      <c r="L779" s="5">
        <f>INDEX(products!$A$1:$G$49,MATCH($D779,products!$A$1:$A$49,0),MATCH(L$1,products!$A$1:$G$1,0))</f>
        <v>29.784999999999997</v>
      </c>
      <c r="M779" s="5">
        <f t="shared" si="37"/>
        <v>59.569999999999993</v>
      </c>
      <c r="N779" t="str">
        <f t="shared" si="39"/>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INDEX(products!$A$1:$G$49,MATCH($D780,products!$A$1:$A$49,0),MATCH(I$1,products!$A$1:$G$1,0))</f>
        <v>Lib</v>
      </c>
      <c r="J780" t="str">
        <f>INDEX(products!$A$1:$G$49,MATCH($D780,products!$A$1:$A$49,0),MATCH(J$1,products!$A$1:$G$1,0))</f>
        <v>L</v>
      </c>
      <c r="K780" s="4">
        <f>INDEX(products!$A$1:$G$49,MATCH($D780,products!$A$1:$A$49,0),MATCH(K$1,products!$A$1:$G$1,0))</f>
        <v>0.5</v>
      </c>
      <c r="L780" s="5">
        <f>INDEX(products!$A$1:$G$49,MATCH($D780,products!$A$1:$A$49,0),MATCH(L$1,products!$A$1:$G$1,0))</f>
        <v>9.51</v>
      </c>
      <c r="M780" s="5">
        <f t="shared" si="37"/>
        <v>19.02</v>
      </c>
      <c r="N780" t="str">
        <f t="shared" si="39"/>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INDEX(products!$A$1:$G$49,MATCH($D781,products!$A$1:$A$49,0),MATCH(I$1,products!$A$1:$G$1,0))</f>
        <v>Lib</v>
      </c>
      <c r="J781" t="str">
        <f>INDEX(products!$A$1:$G$49,MATCH($D781,products!$A$1:$A$49,0),MATCH(J$1,products!$A$1:$G$1,0))</f>
        <v>D</v>
      </c>
      <c r="K781" s="4">
        <f>INDEX(products!$A$1:$G$49,MATCH($D781,products!$A$1:$A$49,0),MATCH(K$1,products!$A$1:$G$1,0))</f>
        <v>1</v>
      </c>
      <c r="L781" s="5">
        <f>INDEX(products!$A$1:$G$49,MATCH($D781,products!$A$1:$A$49,0),MATCH(L$1,products!$A$1:$G$1,0))</f>
        <v>12.95</v>
      </c>
      <c r="M781" s="5">
        <f t="shared" si="37"/>
        <v>77.699999999999989</v>
      </c>
      <c r="N781" t="str">
        <f t="shared" si="39"/>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f>
        <v>Verne Dunkerley</v>
      </c>
      <c r="G782" s="2" t="str">
        <f>IF(_xlfn.XLOOKUP(C782,customers!$A$1:$A$1001,customers!$C$1:$C$1001,,0)=0,"",_xlfn.XLOOKUP(C782,customers!$A$1:$A$1001,customers!$C$1:$C$1001,,0))</f>
        <v/>
      </c>
      <c r="H782" s="2" t="str">
        <f>_xlfn.XLOOKUP(C782,customers!$A$1:$A$1001,customers!$G$1:$G$1001,,0)</f>
        <v>United States</v>
      </c>
      <c r="I782" t="str">
        <f>INDEX(products!$A$1:$G$49,MATCH($D782,products!$A$1:$A$49,0),MATCH(I$1,products!$A$1:$G$1,0))</f>
        <v>Exc</v>
      </c>
      <c r="J782" t="str">
        <f>INDEX(products!$A$1:$G$49,MATCH($D782,products!$A$1:$A$49,0),MATCH(J$1,products!$A$1:$G$1,0))</f>
        <v>M</v>
      </c>
      <c r="K782" s="4">
        <f>INDEX(products!$A$1:$G$49,MATCH($D782,products!$A$1:$A$49,0),MATCH(K$1,products!$A$1:$G$1,0))</f>
        <v>1</v>
      </c>
      <c r="L782" s="5">
        <f>INDEX(products!$A$1:$G$49,MATCH($D782,products!$A$1:$A$49,0),MATCH(L$1,products!$A$1:$G$1,0))</f>
        <v>13.75</v>
      </c>
      <c r="M782" s="5">
        <f t="shared" si="37"/>
        <v>41.25</v>
      </c>
      <c r="N782" t="str">
        <f t="shared" si="39"/>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INDEX(products!$A$1:$G$49,MATCH($D783,products!$A$1:$A$49,0),MATCH(I$1,products!$A$1:$G$1,0))</f>
        <v>Lib</v>
      </c>
      <c r="J783" t="str">
        <f>INDEX(products!$A$1:$G$49,MATCH($D783,products!$A$1:$A$49,0),MATCH(J$1,products!$A$1:$G$1,0))</f>
        <v>L</v>
      </c>
      <c r="K783" s="4">
        <f>INDEX(products!$A$1:$G$49,MATCH($D783,products!$A$1:$A$49,0),MATCH(K$1,products!$A$1:$G$1,0))</f>
        <v>2.5</v>
      </c>
      <c r="L783" s="5">
        <f>INDEX(products!$A$1:$G$49,MATCH($D783,products!$A$1:$A$49,0),MATCH(L$1,products!$A$1:$G$1,0))</f>
        <v>36.454999999999998</v>
      </c>
      <c r="M783" s="5">
        <f t="shared" si="37"/>
        <v>145.82</v>
      </c>
      <c r="N783" t="str">
        <f t="shared" si="39"/>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INDEX(products!$A$1:$G$49,MATCH($D784,products!$A$1:$A$49,0),MATCH(I$1,products!$A$1:$G$1,0))</f>
        <v>Exc</v>
      </c>
      <c r="J784" t="str">
        <f>INDEX(products!$A$1:$G$49,MATCH($D784,products!$A$1:$A$49,0),MATCH(J$1,products!$A$1:$G$1,0))</f>
        <v>L</v>
      </c>
      <c r="K784" s="4">
        <f>INDEX(products!$A$1:$G$49,MATCH($D784,products!$A$1:$A$49,0),MATCH(K$1,products!$A$1:$G$1,0))</f>
        <v>0.2</v>
      </c>
      <c r="L784" s="5">
        <f>INDEX(products!$A$1:$G$49,MATCH($D784,products!$A$1:$A$49,0),MATCH(L$1,products!$A$1:$G$1,0))</f>
        <v>4.4550000000000001</v>
      </c>
      <c r="M784" s="5">
        <f t="shared" si="37"/>
        <v>26.73</v>
      </c>
      <c r="N784" t="str">
        <f t="shared" si="39"/>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INDEX(products!$A$1:$G$49,MATCH($D785,products!$A$1:$A$49,0),MATCH(I$1,products!$A$1:$G$1,0))</f>
        <v>Lib</v>
      </c>
      <c r="J785" t="str">
        <f>INDEX(products!$A$1:$G$49,MATCH($D785,products!$A$1:$A$49,0),MATCH(J$1,products!$A$1:$G$1,0))</f>
        <v>M</v>
      </c>
      <c r="K785" s="4">
        <f>INDEX(products!$A$1:$G$49,MATCH($D785,products!$A$1:$A$49,0),MATCH(K$1,products!$A$1:$G$1,0))</f>
        <v>0.5</v>
      </c>
      <c r="L785" s="5">
        <f>INDEX(products!$A$1:$G$49,MATCH($D785,products!$A$1:$A$49,0),MATCH(L$1,products!$A$1:$G$1,0))</f>
        <v>8.73</v>
      </c>
      <c r="M785" s="5">
        <f t="shared" si="37"/>
        <v>43.650000000000006</v>
      </c>
      <c r="N785" t="str">
        <f t="shared" si="39"/>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INDEX(products!$A$1:$G$49,MATCH($D786,products!$A$1:$A$49,0),MATCH(I$1,products!$A$1:$G$1,0))</f>
        <v>Lib</v>
      </c>
      <c r="J786" t="str">
        <f>INDEX(products!$A$1:$G$49,MATCH($D786,products!$A$1:$A$49,0),MATCH(J$1,products!$A$1:$G$1,0))</f>
        <v>L</v>
      </c>
      <c r="K786" s="4">
        <f>INDEX(products!$A$1:$G$49,MATCH($D786,products!$A$1:$A$49,0),MATCH(K$1,products!$A$1:$G$1,0))</f>
        <v>1</v>
      </c>
      <c r="L786" s="5">
        <f>INDEX(products!$A$1:$G$49,MATCH($D786,products!$A$1:$A$49,0),MATCH(L$1,products!$A$1:$G$1,0))</f>
        <v>15.85</v>
      </c>
      <c r="M786" s="5">
        <f t="shared" si="37"/>
        <v>31.7</v>
      </c>
      <c r="N786" t="str">
        <f t="shared" si="39"/>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INDEX(products!$A$1:$G$49,MATCH($D787,products!$A$1:$A$49,0),MATCH(I$1,products!$A$1:$G$1,0))</f>
        <v>Ara</v>
      </c>
      <c r="J787" t="str">
        <f>INDEX(products!$A$1:$G$49,MATCH($D787,products!$A$1:$A$49,0),MATCH(J$1,products!$A$1:$G$1,0))</f>
        <v>D</v>
      </c>
      <c r="K787" s="4">
        <f>INDEX(products!$A$1:$G$49,MATCH($D787,products!$A$1:$A$49,0),MATCH(K$1,products!$A$1:$G$1,0))</f>
        <v>2.5</v>
      </c>
      <c r="L787" s="5">
        <f>INDEX(products!$A$1:$G$49,MATCH($D787,products!$A$1:$A$49,0),MATCH(L$1,products!$A$1:$G$1,0))</f>
        <v>22.884999999999998</v>
      </c>
      <c r="M787" s="5">
        <f t="shared" si="37"/>
        <v>22.884999999999998</v>
      </c>
      <c r="N787" t="str">
        <f t="shared" si="39"/>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INDEX(products!$A$1:$G$49,MATCH($D788,products!$A$1:$A$49,0),MATCH(I$1,products!$A$1:$G$1,0))</f>
        <v>Exc</v>
      </c>
      <c r="J788" t="str">
        <f>INDEX(products!$A$1:$G$49,MATCH($D788,products!$A$1:$A$49,0),MATCH(J$1,products!$A$1:$G$1,0))</f>
        <v>D</v>
      </c>
      <c r="K788" s="4">
        <f>INDEX(products!$A$1:$G$49,MATCH($D788,products!$A$1:$A$49,0),MATCH(K$1,products!$A$1:$G$1,0))</f>
        <v>2.5</v>
      </c>
      <c r="L788" s="5">
        <f>INDEX(products!$A$1:$G$49,MATCH($D788,products!$A$1:$A$49,0),MATCH(L$1,products!$A$1:$G$1,0))</f>
        <v>27.945</v>
      </c>
      <c r="M788" s="5">
        <f t="shared" si="37"/>
        <v>27.945</v>
      </c>
      <c r="N788" t="str">
        <f t="shared" si="39"/>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f>
        <v>Beryl Osborn</v>
      </c>
      <c r="G789" s="2" t="str">
        <f>IF(_xlfn.XLOOKUP(C789,customers!$A$1:$A$1001,customers!$C$1:$C$1001,,0)=0,"",_xlfn.XLOOKUP(C789,customers!$A$1:$A$1001,customers!$C$1:$C$1001,,0))</f>
        <v/>
      </c>
      <c r="H789" s="2" t="str">
        <f>_xlfn.XLOOKUP(C789,customers!$A$1:$A$1001,customers!$G$1:$G$1001,,0)</f>
        <v>United States</v>
      </c>
      <c r="I789" t="str">
        <f>INDEX(products!$A$1:$G$49,MATCH($D789,products!$A$1:$A$49,0),MATCH(I$1,products!$A$1:$G$1,0))</f>
        <v>Exc</v>
      </c>
      <c r="J789" t="str">
        <f>INDEX(products!$A$1:$G$49,MATCH($D789,products!$A$1:$A$49,0),MATCH(J$1,products!$A$1:$G$1,0))</f>
        <v>M</v>
      </c>
      <c r="K789" s="4">
        <f>INDEX(products!$A$1:$G$49,MATCH($D789,products!$A$1:$A$49,0),MATCH(K$1,products!$A$1:$G$1,0))</f>
        <v>1</v>
      </c>
      <c r="L789" s="5">
        <f>INDEX(products!$A$1:$G$49,MATCH($D789,products!$A$1:$A$49,0),MATCH(L$1,products!$A$1:$G$1,0))</f>
        <v>13.75</v>
      </c>
      <c r="M789" s="5">
        <f t="shared" si="37"/>
        <v>82.5</v>
      </c>
      <c r="N789" t="str">
        <f t="shared" si="39"/>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INDEX(products!$A$1:$G$49,MATCH($D790,products!$A$1:$A$49,0),MATCH(I$1,products!$A$1:$G$1,0))</f>
        <v>Rob</v>
      </c>
      <c r="J790" t="str">
        <f>INDEX(products!$A$1:$G$49,MATCH($D790,products!$A$1:$A$49,0),MATCH(J$1,products!$A$1:$G$1,0))</f>
        <v>M</v>
      </c>
      <c r="K790" s="4">
        <f>INDEX(products!$A$1:$G$49,MATCH($D790,products!$A$1:$A$49,0),MATCH(K$1,products!$A$1:$G$1,0))</f>
        <v>2.5</v>
      </c>
      <c r="L790" s="5">
        <f>INDEX(products!$A$1:$G$49,MATCH($D790,products!$A$1:$A$49,0),MATCH(L$1,products!$A$1:$G$1,0))</f>
        <v>22.884999999999998</v>
      </c>
      <c r="M790" s="5">
        <f t="shared" si="37"/>
        <v>45.769999999999996</v>
      </c>
      <c r="N790" t="str">
        <f t="shared" si="39"/>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INDEX(products!$A$1:$G$49,MATCH($D791,products!$A$1:$A$49,0),MATCH(I$1,products!$A$1:$G$1,0))</f>
        <v>Ara</v>
      </c>
      <c r="J791" t="str">
        <f>INDEX(products!$A$1:$G$49,MATCH($D791,products!$A$1:$A$49,0),MATCH(J$1,products!$A$1:$G$1,0))</f>
        <v>L</v>
      </c>
      <c r="K791" s="4">
        <f>INDEX(products!$A$1:$G$49,MATCH($D791,products!$A$1:$A$49,0),MATCH(K$1,products!$A$1:$G$1,0))</f>
        <v>1</v>
      </c>
      <c r="L791" s="5">
        <f>INDEX(products!$A$1:$G$49,MATCH($D791,products!$A$1:$A$49,0),MATCH(L$1,products!$A$1:$G$1,0))</f>
        <v>12.95</v>
      </c>
      <c r="M791" s="5">
        <f t="shared" si="37"/>
        <v>77.699999999999989</v>
      </c>
      <c r="N791" t="str">
        <f t="shared" si="39"/>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INDEX(products!$A$1:$G$49,MATCH($D792,products!$A$1:$A$49,0),MATCH(I$1,products!$A$1:$G$1,0))</f>
        <v>Ara</v>
      </c>
      <c r="J792" t="str">
        <f>INDEX(products!$A$1:$G$49,MATCH($D792,products!$A$1:$A$49,0),MATCH(J$1,products!$A$1:$G$1,0))</f>
        <v>L</v>
      </c>
      <c r="K792" s="4">
        <f>INDEX(products!$A$1:$G$49,MATCH($D792,products!$A$1:$A$49,0),MATCH(K$1,products!$A$1:$G$1,0))</f>
        <v>0.5</v>
      </c>
      <c r="L792" s="5">
        <f>INDEX(products!$A$1:$G$49,MATCH($D792,products!$A$1:$A$49,0),MATCH(L$1,products!$A$1:$G$1,0))</f>
        <v>7.77</v>
      </c>
      <c r="M792" s="5">
        <f t="shared" si="37"/>
        <v>23.31</v>
      </c>
      <c r="N792" t="str">
        <f t="shared" si="39"/>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INDEX(products!$A$1:$G$49,MATCH($D793,products!$A$1:$A$49,0),MATCH(I$1,products!$A$1:$G$1,0))</f>
        <v>Lib</v>
      </c>
      <c r="J793" t="str">
        <f>INDEX(products!$A$1:$G$49,MATCH($D793,products!$A$1:$A$49,0),MATCH(J$1,products!$A$1:$G$1,0))</f>
        <v>L</v>
      </c>
      <c r="K793" s="4">
        <f>INDEX(products!$A$1:$G$49,MATCH($D793,products!$A$1:$A$49,0),MATCH(K$1,products!$A$1:$G$1,0))</f>
        <v>0.2</v>
      </c>
      <c r="L793" s="5">
        <f>INDEX(products!$A$1:$G$49,MATCH($D793,products!$A$1:$A$49,0),MATCH(L$1,products!$A$1:$G$1,0))</f>
        <v>4.7549999999999999</v>
      </c>
      <c r="M793" s="5">
        <f t="shared" si="37"/>
        <v>23.774999999999999</v>
      </c>
      <c r="N793" t="str">
        <f t="shared" si="39"/>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INDEX(products!$A$1:$G$49,MATCH($D794,products!$A$1:$A$49,0),MATCH(I$1,products!$A$1:$G$1,0))</f>
        <v>Lib</v>
      </c>
      <c r="J794" t="str">
        <f>INDEX(products!$A$1:$G$49,MATCH($D794,products!$A$1:$A$49,0),MATCH(J$1,products!$A$1:$G$1,0))</f>
        <v>M</v>
      </c>
      <c r="K794" s="4">
        <f>INDEX(products!$A$1:$G$49,MATCH($D794,products!$A$1:$A$49,0),MATCH(K$1,products!$A$1:$G$1,0))</f>
        <v>0.5</v>
      </c>
      <c r="L794" s="5">
        <f>INDEX(products!$A$1:$G$49,MATCH($D794,products!$A$1:$A$49,0),MATCH(L$1,products!$A$1:$G$1,0))</f>
        <v>8.73</v>
      </c>
      <c r="M794" s="5">
        <f t="shared" si="37"/>
        <v>52.38</v>
      </c>
      <c r="N794" t="str">
        <f t="shared" si="39"/>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INDEX(products!$A$1:$G$49,MATCH($D795,products!$A$1:$A$49,0),MATCH(I$1,products!$A$1:$G$1,0))</f>
        <v>Rob</v>
      </c>
      <c r="J795" t="str">
        <f>INDEX(products!$A$1:$G$49,MATCH($D795,products!$A$1:$A$49,0),MATCH(J$1,products!$A$1:$G$1,0))</f>
        <v>L</v>
      </c>
      <c r="K795" s="4">
        <f>INDEX(products!$A$1:$G$49,MATCH($D795,products!$A$1:$A$49,0),MATCH(K$1,products!$A$1:$G$1,0))</f>
        <v>0.2</v>
      </c>
      <c r="L795" s="5">
        <f>INDEX(products!$A$1:$G$49,MATCH($D795,products!$A$1:$A$49,0),MATCH(L$1,products!$A$1:$G$1,0))</f>
        <v>3.5849999999999995</v>
      </c>
      <c r="M795" s="5">
        <f t="shared" si="37"/>
        <v>17.924999999999997</v>
      </c>
      <c r="N795" t="str">
        <f t="shared" si="39"/>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INDEX(products!$A$1:$G$49,MATCH($D796,products!$A$1:$A$49,0),MATCH(I$1,products!$A$1:$G$1,0))</f>
        <v>Ara</v>
      </c>
      <c r="J796" t="str">
        <f>INDEX(products!$A$1:$G$49,MATCH($D796,products!$A$1:$A$49,0),MATCH(J$1,products!$A$1:$G$1,0))</f>
        <v>L</v>
      </c>
      <c r="K796" s="4">
        <f>INDEX(products!$A$1:$G$49,MATCH($D796,products!$A$1:$A$49,0),MATCH(K$1,products!$A$1:$G$1,0))</f>
        <v>2.5</v>
      </c>
      <c r="L796" s="5">
        <f>INDEX(products!$A$1:$G$49,MATCH($D796,products!$A$1:$A$49,0),MATCH(L$1,products!$A$1:$G$1,0))</f>
        <v>29.784999999999997</v>
      </c>
      <c r="M796" s="5">
        <f t="shared" si="37"/>
        <v>148.92499999999998</v>
      </c>
      <c r="N796" t="str">
        <f t="shared" si="39"/>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INDEX(products!$A$1:$G$49,MATCH($D797,products!$A$1:$A$49,0),MATCH(I$1,products!$A$1:$G$1,0))</f>
        <v>Rob</v>
      </c>
      <c r="J797" t="str">
        <f>INDEX(products!$A$1:$G$49,MATCH($D797,products!$A$1:$A$49,0),MATCH(J$1,products!$A$1:$G$1,0))</f>
        <v>L</v>
      </c>
      <c r="K797" s="4">
        <f>INDEX(products!$A$1:$G$49,MATCH($D797,products!$A$1:$A$49,0),MATCH(K$1,products!$A$1:$G$1,0))</f>
        <v>0.5</v>
      </c>
      <c r="L797" s="5">
        <f>INDEX(products!$A$1:$G$49,MATCH($D797,products!$A$1:$A$49,0),MATCH(L$1,products!$A$1:$G$1,0))</f>
        <v>7.169999999999999</v>
      </c>
      <c r="M797" s="5">
        <f t="shared" si="37"/>
        <v>28.679999999999996</v>
      </c>
      <c r="N797" t="str">
        <f t="shared" si="39"/>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f>
        <v>Merell Zanazzi</v>
      </c>
      <c r="G798" s="2" t="str">
        <f>IF(_xlfn.XLOOKUP(C798,customers!$A$1:$A$1001,customers!$C$1:$C$1001,,0)=0,"",_xlfn.XLOOKUP(C798,customers!$A$1:$A$1001,customers!$C$1:$C$1001,,0))</f>
        <v/>
      </c>
      <c r="H798" s="2" t="str">
        <f>_xlfn.XLOOKUP(C798,customers!$A$1:$A$1001,customers!$G$1:$G$1001,,0)</f>
        <v>United States</v>
      </c>
      <c r="I798" t="str">
        <f>INDEX(products!$A$1:$G$49,MATCH($D798,products!$A$1:$A$49,0),MATCH(I$1,products!$A$1:$G$1,0))</f>
        <v>Lib</v>
      </c>
      <c r="J798" t="str">
        <f>INDEX(products!$A$1:$G$49,MATCH($D798,products!$A$1:$A$49,0),MATCH(J$1,products!$A$1:$G$1,0))</f>
        <v>L</v>
      </c>
      <c r="K798" s="4">
        <f>INDEX(products!$A$1:$G$49,MATCH($D798,products!$A$1:$A$49,0),MATCH(K$1,products!$A$1:$G$1,0))</f>
        <v>0.5</v>
      </c>
      <c r="L798" s="5">
        <f>INDEX(products!$A$1:$G$49,MATCH($D798,products!$A$1:$A$49,0),MATCH(L$1,products!$A$1:$G$1,0))</f>
        <v>9.51</v>
      </c>
      <c r="M798" s="5">
        <f t="shared" si="37"/>
        <v>9.51</v>
      </c>
      <c r="N798" t="str">
        <f t="shared" si="39"/>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INDEX(products!$A$1:$G$49,MATCH($D799,products!$A$1:$A$49,0),MATCH(I$1,products!$A$1:$G$1,0))</f>
        <v>Ara</v>
      </c>
      <c r="J799" t="str">
        <f>INDEX(products!$A$1:$G$49,MATCH($D799,products!$A$1:$A$49,0),MATCH(J$1,products!$A$1:$G$1,0))</f>
        <v>L</v>
      </c>
      <c r="K799" s="4">
        <f>INDEX(products!$A$1:$G$49,MATCH($D799,products!$A$1:$A$49,0),MATCH(K$1,products!$A$1:$G$1,0))</f>
        <v>0.5</v>
      </c>
      <c r="L799" s="5">
        <f>INDEX(products!$A$1:$G$49,MATCH($D799,products!$A$1:$A$49,0),MATCH(L$1,products!$A$1:$G$1,0))</f>
        <v>7.77</v>
      </c>
      <c r="M799" s="5">
        <f t="shared" si="37"/>
        <v>31.08</v>
      </c>
      <c r="N799" t="str">
        <f t="shared" si="39"/>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INDEX(products!$A$1:$G$49,MATCH($D800,products!$A$1:$A$49,0),MATCH(I$1,products!$A$1:$G$1,0))</f>
        <v>Rob</v>
      </c>
      <c r="J800" t="str">
        <f>INDEX(products!$A$1:$G$49,MATCH($D800,products!$A$1:$A$49,0),MATCH(J$1,products!$A$1:$G$1,0))</f>
        <v>D</v>
      </c>
      <c r="K800" s="4">
        <f>INDEX(products!$A$1:$G$49,MATCH($D800,products!$A$1:$A$49,0),MATCH(K$1,products!$A$1:$G$1,0))</f>
        <v>0.2</v>
      </c>
      <c r="L800" s="5">
        <f>INDEX(products!$A$1:$G$49,MATCH($D800,products!$A$1:$A$49,0),MATCH(L$1,products!$A$1:$G$1,0))</f>
        <v>2.6849999999999996</v>
      </c>
      <c r="M800" s="5">
        <f t="shared" si="37"/>
        <v>8.0549999999999997</v>
      </c>
      <c r="N800" t="str">
        <f t="shared" si="39"/>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f>
        <v>Gonzales Cicculi</v>
      </c>
      <c r="G801" s="2" t="str">
        <f>IF(_xlfn.XLOOKUP(C801,customers!$A$1:$A$1001,customers!$C$1:$C$1001,,0)=0,"",_xlfn.XLOOKUP(C801,customers!$A$1:$A$1001,customers!$C$1:$C$1001,,0))</f>
        <v/>
      </c>
      <c r="H801" s="2" t="str">
        <f>_xlfn.XLOOKUP(C801,customers!$A$1:$A$1001,customers!$G$1:$G$1001,,0)</f>
        <v>United States</v>
      </c>
      <c r="I801" t="str">
        <f>INDEX(products!$A$1:$G$49,MATCH($D801,products!$A$1:$A$49,0),MATCH(I$1,products!$A$1:$G$1,0))</f>
        <v>Exc</v>
      </c>
      <c r="J801" t="str">
        <f>INDEX(products!$A$1:$G$49,MATCH($D801,products!$A$1:$A$49,0),MATCH(J$1,products!$A$1:$G$1,0))</f>
        <v>D</v>
      </c>
      <c r="K801" s="4">
        <f>INDEX(products!$A$1:$G$49,MATCH($D801,products!$A$1:$A$49,0),MATCH(K$1,products!$A$1:$G$1,0))</f>
        <v>1</v>
      </c>
      <c r="L801" s="5">
        <f>INDEX(products!$A$1:$G$49,MATCH($D801,products!$A$1:$A$49,0),MATCH(L$1,products!$A$1:$G$1,0))</f>
        <v>12.15</v>
      </c>
      <c r="M801" s="5">
        <f t="shared" si="37"/>
        <v>36.450000000000003</v>
      </c>
      <c r="N801" t="str">
        <f t="shared" si="39"/>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f>
        <v>Man Fright</v>
      </c>
      <c r="G802" s="2" t="str">
        <f>IF(_xlfn.XLOOKUP(C802,customers!$A$1:$A$1001,customers!$C$1:$C$1001,,0)=0,"",_xlfn.XLOOKUP(C802,customers!$A$1:$A$1001,customers!$C$1:$C$1001,,0))</f>
        <v>mfrightm8@harvard.edu</v>
      </c>
      <c r="H802" s="2" t="str">
        <f>_xlfn.XLOOKUP(C802,customers!$A$1:$A$1001,customers!$G$1:$G$1001,,0)</f>
        <v>Ireland</v>
      </c>
      <c r="I802" t="str">
        <f>INDEX(products!$A$1:$G$49,MATCH($D802,products!$A$1:$A$49,0),MATCH(I$1,products!$A$1:$G$1,0))</f>
        <v>Rob</v>
      </c>
      <c r="J802" t="str">
        <f>INDEX(products!$A$1:$G$49,MATCH($D802,products!$A$1:$A$49,0),MATCH(J$1,products!$A$1:$G$1,0))</f>
        <v>D</v>
      </c>
      <c r="K802" s="4">
        <f>INDEX(products!$A$1:$G$49,MATCH($D802,products!$A$1:$A$49,0),MATCH(K$1,products!$A$1:$G$1,0))</f>
        <v>0.2</v>
      </c>
      <c r="L802" s="5">
        <f>INDEX(products!$A$1:$G$49,MATCH($D802,products!$A$1:$A$49,0),MATCH(L$1,products!$A$1:$G$1,0))</f>
        <v>2.6849999999999996</v>
      </c>
      <c r="M802" s="5">
        <f t="shared" si="37"/>
        <v>16.11</v>
      </c>
      <c r="N802" t="str">
        <f t="shared" si="39"/>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INDEX(products!$A$1:$G$49,MATCH($D803,products!$A$1:$A$49,0),MATCH(I$1,products!$A$1:$G$1,0))</f>
        <v>Rob</v>
      </c>
      <c r="J803" t="str">
        <f>INDEX(products!$A$1:$G$49,MATCH($D803,products!$A$1:$A$49,0),MATCH(J$1,products!$A$1:$G$1,0))</f>
        <v>D</v>
      </c>
      <c r="K803" s="4">
        <f>INDEX(products!$A$1:$G$49,MATCH($D803,products!$A$1:$A$49,0),MATCH(K$1,products!$A$1:$G$1,0))</f>
        <v>2.5</v>
      </c>
      <c r="L803" s="5">
        <f>INDEX(products!$A$1:$G$49,MATCH($D803,products!$A$1:$A$49,0),MATCH(L$1,products!$A$1:$G$1,0))</f>
        <v>20.584999999999997</v>
      </c>
      <c r="M803" s="5">
        <f t="shared" si="37"/>
        <v>41.169999999999995</v>
      </c>
      <c r="N803" t="str">
        <f t="shared" si="39"/>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INDEX(products!$A$1:$G$49,MATCH($D804,products!$A$1:$A$49,0),MATCH(I$1,products!$A$1:$G$1,0))</f>
        <v>Rob</v>
      </c>
      <c r="J804" t="str">
        <f>INDEX(products!$A$1:$G$49,MATCH($D804,products!$A$1:$A$49,0),MATCH(J$1,products!$A$1:$G$1,0))</f>
        <v>D</v>
      </c>
      <c r="K804" s="4">
        <f>INDEX(products!$A$1:$G$49,MATCH($D804,products!$A$1:$A$49,0),MATCH(K$1,products!$A$1:$G$1,0))</f>
        <v>0.2</v>
      </c>
      <c r="L804" s="5">
        <f>INDEX(products!$A$1:$G$49,MATCH($D804,products!$A$1:$A$49,0),MATCH(L$1,products!$A$1:$G$1,0))</f>
        <v>2.6849999999999996</v>
      </c>
      <c r="M804" s="5">
        <f t="shared" si="37"/>
        <v>10.739999999999998</v>
      </c>
      <c r="N804" t="str">
        <f t="shared" si="39"/>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INDEX(products!$A$1:$G$49,MATCH($D805,products!$A$1:$A$49,0),MATCH(I$1,products!$A$1:$G$1,0))</f>
        <v>Exc</v>
      </c>
      <c r="J805" t="str">
        <f>INDEX(products!$A$1:$G$49,MATCH($D805,products!$A$1:$A$49,0),MATCH(J$1,products!$A$1:$G$1,0))</f>
        <v>M</v>
      </c>
      <c r="K805" s="4">
        <f>INDEX(products!$A$1:$G$49,MATCH($D805,products!$A$1:$A$49,0),MATCH(K$1,products!$A$1:$G$1,0))</f>
        <v>2.5</v>
      </c>
      <c r="L805" s="5">
        <f>INDEX(products!$A$1:$G$49,MATCH($D805,products!$A$1:$A$49,0),MATCH(L$1,products!$A$1:$G$1,0))</f>
        <v>31.624999999999996</v>
      </c>
      <c r="M805" s="5">
        <f t="shared" si="37"/>
        <v>126.49999999999999</v>
      </c>
      <c r="N805" t="str">
        <f t="shared" si="39"/>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f>
        <v>Jammie Cloke</v>
      </c>
      <c r="G806" s="2" t="str">
        <f>IF(_xlfn.XLOOKUP(C806,customers!$A$1:$A$1001,customers!$C$1:$C$1001,,0)=0,"",_xlfn.XLOOKUP(C806,customers!$A$1:$A$1001,customers!$C$1:$C$1001,,0))</f>
        <v/>
      </c>
      <c r="H806" s="2" t="str">
        <f>_xlfn.XLOOKUP(C806,customers!$A$1:$A$1001,customers!$G$1:$G$1001,,0)</f>
        <v>United Kingdom</v>
      </c>
      <c r="I806" t="str">
        <f>INDEX(products!$A$1:$G$49,MATCH($D806,products!$A$1:$A$49,0),MATCH(I$1,products!$A$1:$G$1,0))</f>
        <v>Rob</v>
      </c>
      <c r="J806" t="str">
        <f>INDEX(products!$A$1:$G$49,MATCH($D806,products!$A$1:$A$49,0),MATCH(J$1,products!$A$1:$G$1,0))</f>
        <v>L</v>
      </c>
      <c r="K806" s="4">
        <f>INDEX(products!$A$1:$G$49,MATCH($D806,products!$A$1:$A$49,0),MATCH(K$1,products!$A$1:$G$1,0))</f>
        <v>1</v>
      </c>
      <c r="L806" s="5">
        <f>INDEX(products!$A$1:$G$49,MATCH($D806,products!$A$1:$A$49,0),MATCH(L$1,products!$A$1:$G$1,0))</f>
        <v>11.95</v>
      </c>
      <c r="M806" s="5">
        <f t="shared" si="37"/>
        <v>23.9</v>
      </c>
      <c r="N806" t="str">
        <f t="shared" si="39"/>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f>
        <v>Chester Clowton</v>
      </c>
      <c r="G807" s="2" t="str">
        <f>IF(_xlfn.XLOOKUP(C807,customers!$A$1:$A$1001,customers!$C$1:$C$1001,,0)=0,"",_xlfn.XLOOKUP(C807,customers!$A$1:$A$1001,customers!$C$1:$C$1001,,0))</f>
        <v/>
      </c>
      <c r="H807" s="2" t="str">
        <f>_xlfn.XLOOKUP(C807,customers!$A$1:$A$1001,customers!$G$1:$G$1001,,0)</f>
        <v>United States</v>
      </c>
      <c r="I807" t="str">
        <f>INDEX(products!$A$1:$G$49,MATCH($D807,products!$A$1:$A$49,0),MATCH(I$1,products!$A$1:$G$1,0))</f>
        <v>Rob</v>
      </c>
      <c r="J807" t="str">
        <f>INDEX(products!$A$1:$G$49,MATCH($D807,products!$A$1:$A$49,0),MATCH(J$1,products!$A$1:$G$1,0))</f>
        <v>M</v>
      </c>
      <c r="K807" s="4">
        <f>INDEX(products!$A$1:$G$49,MATCH($D807,products!$A$1:$A$49,0),MATCH(K$1,products!$A$1:$G$1,0))</f>
        <v>0.5</v>
      </c>
      <c r="L807" s="5">
        <f>INDEX(products!$A$1:$G$49,MATCH($D807,products!$A$1:$A$49,0),MATCH(L$1,products!$A$1:$G$1,0))</f>
        <v>5.97</v>
      </c>
      <c r="M807" s="5">
        <f t="shared" si="37"/>
        <v>5.97</v>
      </c>
      <c r="N807" t="str">
        <f t="shared" si="39"/>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f>
        <v>Kathleen Diable</v>
      </c>
      <c r="G808" s="2" t="str">
        <f>IF(_xlfn.XLOOKUP(C808,customers!$A$1:$A$1001,customers!$C$1:$C$1001,,0)=0,"",_xlfn.XLOOKUP(C808,customers!$A$1:$A$1001,customers!$C$1:$C$1001,,0))</f>
        <v/>
      </c>
      <c r="H808" s="2" t="str">
        <f>_xlfn.XLOOKUP(C808,customers!$A$1:$A$1001,customers!$G$1:$G$1001,,0)</f>
        <v>United Kingdom</v>
      </c>
      <c r="I808" t="str">
        <f>INDEX(products!$A$1:$G$49,MATCH($D808,products!$A$1:$A$49,0),MATCH(I$1,products!$A$1:$G$1,0))</f>
        <v>Lib</v>
      </c>
      <c r="J808" t="str">
        <f>INDEX(products!$A$1:$G$49,MATCH($D808,products!$A$1:$A$49,0),MATCH(J$1,products!$A$1:$G$1,0))</f>
        <v>D</v>
      </c>
      <c r="K808" s="4">
        <f>INDEX(products!$A$1:$G$49,MATCH($D808,products!$A$1:$A$49,0),MATCH(K$1,products!$A$1:$G$1,0))</f>
        <v>0.2</v>
      </c>
      <c r="L808" s="5">
        <f>INDEX(products!$A$1:$G$49,MATCH($D808,products!$A$1:$A$49,0),MATCH(L$1,products!$A$1:$G$1,0))</f>
        <v>3.8849999999999998</v>
      </c>
      <c r="M808" s="5">
        <f t="shared" si="37"/>
        <v>7.77</v>
      </c>
      <c r="N808" t="str">
        <f t="shared" si="39"/>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INDEX(products!$A$1:$G$49,MATCH($D809,products!$A$1:$A$49,0),MATCH(I$1,products!$A$1:$G$1,0))</f>
        <v>Lib</v>
      </c>
      <c r="J809" t="str">
        <f>INDEX(products!$A$1:$G$49,MATCH($D809,products!$A$1:$A$49,0),MATCH(J$1,products!$A$1:$G$1,0))</f>
        <v>D</v>
      </c>
      <c r="K809" s="4">
        <f>INDEX(products!$A$1:$G$49,MATCH($D809,products!$A$1:$A$49,0),MATCH(K$1,products!$A$1:$G$1,0))</f>
        <v>0.5</v>
      </c>
      <c r="L809" s="5">
        <f>INDEX(products!$A$1:$G$49,MATCH($D809,products!$A$1:$A$49,0),MATCH(L$1,products!$A$1:$G$1,0))</f>
        <v>7.77</v>
      </c>
      <c r="M809" s="5">
        <f t="shared" si="37"/>
        <v>23.31</v>
      </c>
      <c r="N809" t="str">
        <f t="shared" si="39"/>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f>
        <v>Allis Wilmore</v>
      </c>
      <c r="G810" s="2" t="str">
        <f>IF(_xlfn.XLOOKUP(C810,customers!$A$1:$A$1001,customers!$C$1:$C$1001,,0)=0,"",_xlfn.XLOOKUP(C810,customers!$A$1:$A$1001,customers!$C$1:$C$1001,,0))</f>
        <v/>
      </c>
      <c r="H810" s="2" t="str">
        <f>_xlfn.XLOOKUP(C810,customers!$A$1:$A$1001,customers!$G$1:$G$1001,,0)</f>
        <v>United States</v>
      </c>
      <c r="I810" t="str">
        <f>INDEX(products!$A$1:$G$49,MATCH($D810,products!$A$1:$A$49,0),MATCH(I$1,products!$A$1:$G$1,0))</f>
        <v>Rob</v>
      </c>
      <c r="J810" t="str">
        <f>INDEX(products!$A$1:$G$49,MATCH($D810,products!$A$1:$A$49,0),MATCH(J$1,products!$A$1:$G$1,0))</f>
        <v>L</v>
      </c>
      <c r="K810" s="4">
        <f>INDEX(products!$A$1:$G$49,MATCH($D810,products!$A$1:$A$49,0),MATCH(K$1,products!$A$1:$G$1,0))</f>
        <v>2.5</v>
      </c>
      <c r="L810" s="5">
        <f>INDEX(products!$A$1:$G$49,MATCH($D810,products!$A$1:$A$49,0),MATCH(L$1,products!$A$1:$G$1,0))</f>
        <v>27.484999999999996</v>
      </c>
      <c r="M810" s="5">
        <f t="shared" si="37"/>
        <v>137.42499999999998</v>
      </c>
      <c r="N810" t="str">
        <f t="shared" si="39"/>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f>
        <v>Chaddie Bennie</v>
      </c>
      <c r="G811" s="2" t="str">
        <f>IF(_xlfn.XLOOKUP(C811,customers!$A$1:$A$1001,customers!$C$1:$C$1001,,0)=0,"",_xlfn.XLOOKUP(C811,customers!$A$1:$A$1001,customers!$C$1:$C$1001,,0))</f>
        <v/>
      </c>
      <c r="H811" s="2" t="str">
        <f>_xlfn.XLOOKUP(C811,customers!$A$1:$A$1001,customers!$G$1:$G$1001,,0)</f>
        <v>United States</v>
      </c>
      <c r="I811" t="str">
        <f>INDEX(products!$A$1:$G$49,MATCH($D811,products!$A$1:$A$49,0),MATCH(I$1,products!$A$1:$G$1,0))</f>
        <v>Rob</v>
      </c>
      <c r="J811" t="str">
        <f>INDEX(products!$A$1:$G$49,MATCH($D811,products!$A$1:$A$49,0),MATCH(J$1,products!$A$1:$G$1,0))</f>
        <v>D</v>
      </c>
      <c r="K811" s="4">
        <f>INDEX(products!$A$1:$G$49,MATCH($D811,products!$A$1:$A$49,0),MATCH(K$1,products!$A$1:$G$1,0))</f>
        <v>0.2</v>
      </c>
      <c r="L811" s="5">
        <f>INDEX(products!$A$1:$G$49,MATCH($D811,products!$A$1:$A$49,0),MATCH(L$1,products!$A$1:$G$1,0))</f>
        <v>2.6849999999999996</v>
      </c>
      <c r="M811" s="5">
        <f t="shared" si="37"/>
        <v>8.0549999999999997</v>
      </c>
      <c r="N811" t="str">
        <f t="shared" si="39"/>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INDEX(products!$A$1:$G$49,MATCH($D812,products!$A$1:$A$49,0),MATCH(I$1,products!$A$1:$G$1,0))</f>
        <v>Lib</v>
      </c>
      <c r="J812" t="str">
        <f>INDEX(products!$A$1:$G$49,MATCH($D812,products!$A$1:$A$49,0),MATCH(J$1,products!$A$1:$G$1,0))</f>
        <v>L</v>
      </c>
      <c r="K812" s="4">
        <f>INDEX(products!$A$1:$G$49,MATCH($D812,products!$A$1:$A$49,0),MATCH(K$1,products!$A$1:$G$1,0))</f>
        <v>0.5</v>
      </c>
      <c r="L812" s="5">
        <f>INDEX(products!$A$1:$G$49,MATCH($D812,products!$A$1:$A$49,0),MATCH(L$1,products!$A$1:$G$1,0))</f>
        <v>9.51</v>
      </c>
      <c r="M812" s="5">
        <f t="shared" si="37"/>
        <v>28.53</v>
      </c>
      <c r="N812" t="str">
        <f t="shared" si="39"/>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INDEX(products!$A$1:$G$49,MATCH($D813,products!$A$1:$A$49,0),MATCH(I$1,products!$A$1:$G$1,0))</f>
        <v>Ara</v>
      </c>
      <c r="J813" t="str">
        <f>INDEX(products!$A$1:$G$49,MATCH($D813,products!$A$1:$A$49,0),MATCH(J$1,products!$A$1:$G$1,0))</f>
        <v>M</v>
      </c>
      <c r="K813" s="4">
        <f>INDEX(products!$A$1:$G$49,MATCH($D813,products!$A$1:$A$49,0),MATCH(K$1,products!$A$1:$G$1,0))</f>
        <v>1</v>
      </c>
      <c r="L813" s="5">
        <f>INDEX(products!$A$1:$G$49,MATCH($D813,products!$A$1:$A$49,0),MATCH(L$1,products!$A$1:$G$1,0))</f>
        <v>11.25</v>
      </c>
      <c r="M813" s="5">
        <f t="shared" si="37"/>
        <v>67.5</v>
      </c>
      <c r="N813" t="str">
        <f t="shared" si="39"/>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INDEX(products!$A$1:$G$49,MATCH($D814,products!$A$1:$A$49,0),MATCH(I$1,products!$A$1:$G$1,0))</f>
        <v>Lib</v>
      </c>
      <c r="J814" t="str">
        <f>INDEX(products!$A$1:$G$49,MATCH($D814,products!$A$1:$A$49,0),MATCH(J$1,products!$A$1:$G$1,0))</f>
        <v>D</v>
      </c>
      <c r="K814" s="4">
        <f>INDEX(products!$A$1:$G$49,MATCH($D814,products!$A$1:$A$49,0),MATCH(K$1,products!$A$1:$G$1,0))</f>
        <v>2.5</v>
      </c>
      <c r="L814" s="5">
        <f>INDEX(products!$A$1:$G$49,MATCH($D814,products!$A$1:$A$49,0),MATCH(L$1,products!$A$1:$G$1,0))</f>
        <v>29.784999999999997</v>
      </c>
      <c r="M814" s="5">
        <f t="shared" si="37"/>
        <v>178.70999999999998</v>
      </c>
      <c r="N814" t="str">
        <f t="shared" si="39"/>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INDEX(products!$A$1:$G$49,MATCH($D815,products!$A$1:$A$49,0),MATCH(I$1,products!$A$1:$G$1,0))</f>
        <v>Exc</v>
      </c>
      <c r="J815" t="str">
        <f>INDEX(products!$A$1:$G$49,MATCH($D815,products!$A$1:$A$49,0),MATCH(J$1,products!$A$1:$G$1,0))</f>
        <v>M</v>
      </c>
      <c r="K815" s="4">
        <f>INDEX(products!$A$1:$G$49,MATCH($D815,products!$A$1:$A$49,0),MATCH(K$1,products!$A$1:$G$1,0))</f>
        <v>2.5</v>
      </c>
      <c r="L815" s="5">
        <f>INDEX(products!$A$1:$G$49,MATCH($D815,products!$A$1:$A$49,0),MATCH(L$1,products!$A$1:$G$1,0))</f>
        <v>31.624999999999996</v>
      </c>
      <c r="M815" s="5">
        <f t="shared" si="37"/>
        <v>31.624999999999996</v>
      </c>
      <c r="N815" t="str">
        <f t="shared" si="39"/>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INDEX(products!$A$1:$G$49,MATCH($D816,products!$A$1:$A$49,0),MATCH(I$1,products!$A$1:$G$1,0))</f>
        <v>Exc</v>
      </c>
      <c r="J816" t="str">
        <f>INDEX(products!$A$1:$G$49,MATCH($D816,products!$A$1:$A$49,0),MATCH(J$1,products!$A$1:$G$1,0))</f>
        <v>L</v>
      </c>
      <c r="K816" s="4">
        <f>INDEX(products!$A$1:$G$49,MATCH($D816,products!$A$1:$A$49,0),MATCH(K$1,products!$A$1:$G$1,0))</f>
        <v>0.2</v>
      </c>
      <c r="L816" s="5">
        <f>INDEX(products!$A$1:$G$49,MATCH($D816,products!$A$1:$A$49,0),MATCH(L$1,products!$A$1:$G$1,0))</f>
        <v>4.4550000000000001</v>
      </c>
      <c r="M816" s="5">
        <f t="shared" si="37"/>
        <v>8.91</v>
      </c>
      <c r="N816" t="str">
        <f t="shared" si="39"/>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INDEX(products!$A$1:$G$49,MATCH($D817,products!$A$1:$A$49,0),MATCH(I$1,products!$A$1:$G$1,0))</f>
        <v>Rob</v>
      </c>
      <c r="J817" t="str">
        <f>INDEX(products!$A$1:$G$49,MATCH($D817,products!$A$1:$A$49,0),MATCH(J$1,products!$A$1:$G$1,0))</f>
        <v>M</v>
      </c>
      <c r="K817" s="4">
        <f>INDEX(products!$A$1:$G$49,MATCH($D817,products!$A$1:$A$49,0),MATCH(K$1,products!$A$1:$G$1,0))</f>
        <v>0.5</v>
      </c>
      <c r="L817" s="5">
        <f>INDEX(products!$A$1:$G$49,MATCH($D817,products!$A$1:$A$49,0),MATCH(L$1,products!$A$1:$G$1,0))</f>
        <v>5.97</v>
      </c>
      <c r="M817" s="5">
        <f t="shared" si="37"/>
        <v>35.82</v>
      </c>
      <c r="N817" t="str">
        <f t="shared" si="39"/>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INDEX(products!$A$1:$G$49,MATCH($D818,products!$A$1:$A$49,0),MATCH(I$1,products!$A$1:$G$1,0))</f>
        <v>Lib</v>
      </c>
      <c r="J818" t="str">
        <f>INDEX(products!$A$1:$G$49,MATCH($D818,products!$A$1:$A$49,0),MATCH(J$1,products!$A$1:$G$1,0))</f>
        <v>L</v>
      </c>
      <c r="K818" s="4">
        <f>INDEX(products!$A$1:$G$49,MATCH($D818,products!$A$1:$A$49,0),MATCH(K$1,products!$A$1:$G$1,0))</f>
        <v>0.5</v>
      </c>
      <c r="L818" s="5">
        <f>INDEX(products!$A$1:$G$49,MATCH($D818,products!$A$1:$A$49,0),MATCH(L$1,products!$A$1:$G$1,0))</f>
        <v>9.51</v>
      </c>
      <c r="M818" s="5">
        <f t="shared" si="37"/>
        <v>38.04</v>
      </c>
      <c r="N818" t="str">
        <f t="shared" si="39"/>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INDEX(products!$A$1:$G$49,MATCH($D819,products!$A$1:$A$49,0),MATCH(I$1,products!$A$1:$G$1,0))</f>
        <v>Lib</v>
      </c>
      <c r="J819" t="str">
        <f>INDEX(products!$A$1:$G$49,MATCH($D819,products!$A$1:$A$49,0),MATCH(J$1,products!$A$1:$G$1,0))</f>
        <v>D</v>
      </c>
      <c r="K819" s="4">
        <f>INDEX(products!$A$1:$G$49,MATCH($D819,products!$A$1:$A$49,0),MATCH(K$1,products!$A$1:$G$1,0))</f>
        <v>0.5</v>
      </c>
      <c r="L819" s="5">
        <f>INDEX(products!$A$1:$G$49,MATCH($D819,products!$A$1:$A$49,0),MATCH(L$1,products!$A$1:$G$1,0))</f>
        <v>7.77</v>
      </c>
      <c r="M819" s="5">
        <f t="shared" si="37"/>
        <v>15.54</v>
      </c>
      <c r="N819" t="str">
        <f t="shared" si="39"/>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f>
        <v>Allis Wilmore</v>
      </c>
      <c r="G820" s="2" t="str">
        <f>IF(_xlfn.XLOOKUP(C820,customers!$A$1:$A$1001,customers!$C$1:$C$1001,,0)=0,"",_xlfn.XLOOKUP(C820,customers!$A$1:$A$1001,customers!$C$1:$C$1001,,0))</f>
        <v/>
      </c>
      <c r="H820" s="2" t="str">
        <f>_xlfn.XLOOKUP(C820,customers!$A$1:$A$1001,customers!$G$1:$G$1001,,0)</f>
        <v>United States</v>
      </c>
      <c r="I820" t="str">
        <f>INDEX(products!$A$1:$G$49,MATCH($D820,products!$A$1:$A$49,0),MATCH(I$1,products!$A$1:$G$1,0))</f>
        <v>Lib</v>
      </c>
      <c r="J820" t="str">
        <f>INDEX(products!$A$1:$G$49,MATCH($D820,products!$A$1:$A$49,0),MATCH(J$1,products!$A$1:$G$1,0))</f>
        <v>L</v>
      </c>
      <c r="K820" s="4">
        <f>INDEX(products!$A$1:$G$49,MATCH($D820,products!$A$1:$A$49,0),MATCH(K$1,products!$A$1:$G$1,0))</f>
        <v>1</v>
      </c>
      <c r="L820" s="5">
        <f>INDEX(products!$A$1:$G$49,MATCH($D820,products!$A$1:$A$49,0),MATCH(L$1,products!$A$1:$G$1,0))</f>
        <v>15.85</v>
      </c>
      <c r="M820" s="5">
        <f t="shared" si="37"/>
        <v>79.25</v>
      </c>
      <c r="N820" t="str">
        <f t="shared" si="39"/>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INDEX(products!$A$1:$G$49,MATCH($D821,products!$A$1:$A$49,0),MATCH(I$1,products!$A$1:$G$1,0))</f>
        <v>Lib</v>
      </c>
      <c r="J821" t="str">
        <f>INDEX(products!$A$1:$G$49,MATCH($D821,products!$A$1:$A$49,0),MATCH(J$1,products!$A$1:$G$1,0))</f>
        <v>L</v>
      </c>
      <c r="K821" s="4">
        <f>INDEX(products!$A$1:$G$49,MATCH($D821,products!$A$1:$A$49,0),MATCH(K$1,products!$A$1:$G$1,0))</f>
        <v>0.2</v>
      </c>
      <c r="L821" s="5">
        <f>INDEX(products!$A$1:$G$49,MATCH($D821,products!$A$1:$A$49,0),MATCH(L$1,products!$A$1:$G$1,0))</f>
        <v>4.7549999999999999</v>
      </c>
      <c r="M821" s="5">
        <f t="shared" si="37"/>
        <v>4.7549999999999999</v>
      </c>
      <c r="N821" t="str">
        <f t="shared" si="39"/>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INDEX(products!$A$1:$G$49,MATCH($D822,products!$A$1:$A$49,0),MATCH(I$1,products!$A$1:$G$1,0))</f>
        <v>Exc</v>
      </c>
      <c r="J822" t="str">
        <f>INDEX(products!$A$1:$G$49,MATCH($D822,products!$A$1:$A$49,0),MATCH(J$1,products!$A$1:$G$1,0))</f>
        <v>M</v>
      </c>
      <c r="K822" s="4">
        <f>INDEX(products!$A$1:$G$49,MATCH($D822,products!$A$1:$A$49,0),MATCH(K$1,products!$A$1:$G$1,0))</f>
        <v>1</v>
      </c>
      <c r="L822" s="5">
        <f>INDEX(products!$A$1:$G$49,MATCH($D822,products!$A$1:$A$49,0),MATCH(L$1,products!$A$1:$G$1,0))</f>
        <v>13.75</v>
      </c>
      <c r="M822" s="5">
        <f t="shared" si="37"/>
        <v>55</v>
      </c>
      <c r="N822" t="str">
        <f t="shared" si="39"/>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INDEX(products!$A$1:$G$49,MATCH($D823,products!$A$1:$A$49,0),MATCH(I$1,products!$A$1:$G$1,0))</f>
        <v>Rob</v>
      </c>
      <c r="J823" t="str">
        <f>INDEX(products!$A$1:$G$49,MATCH($D823,products!$A$1:$A$49,0),MATCH(J$1,products!$A$1:$G$1,0))</f>
        <v>D</v>
      </c>
      <c r="K823" s="4">
        <f>INDEX(products!$A$1:$G$49,MATCH($D823,products!$A$1:$A$49,0),MATCH(K$1,products!$A$1:$G$1,0))</f>
        <v>0.5</v>
      </c>
      <c r="L823" s="5">
        <f>INDEX(products!$A$1:$G$49,MATCH($D823,products!$A$1:$A$49,0),MATCH(L$1,products!$A$1:$G$1,0))</f>
        <v>5.3699999999999992</v>
      </c>
      <c r="M823" s="5">
        <f t="shared" si="37"/>
        <v>26.849999999999994</v>
      </c>
      <c r="N823" t="str">
        <f t="shared" si="39"/>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INDEX(products!$A$1:$G$49,MATCH($D824,products!$A$1:$A$49,0),MATCH(I$1,products!$A$1:$G$1,0))</f>
        <v>Exc</v>
      </c>
      <c r="J824" t="str">
        <f>INDEX(products!$A$1:$G$49,MATCH($D824,products!$A$1:$A$49,0),MATCH(J$1,products!$A$1:$G$1,0))</f>
        <v>L</v>
      </c>
      <c r="K824" s="4">
        <f>INDEX(products!$A$1:$G$49,MATCH($D824,products!$A$1:$A$49,0),MATCH(K$1,products!$A$1:$G$1,0))</f>
        <v>2.5</v>
      </c>
      <c r="L824" s="5">
        <f>INDEX(products!$A$1:$G$49,MATCH($D824,products!$A$1:$A$49,0),MATCH(L$1,products!$A$1:$G$1,0))</f>
        <v>34.154999999999994</v>
      </c>
      <c r="M824" s="5">
        <f t="shared" si="37"/>
        <v>136.61999999999998</v>
      </c>
      <c r="N824" t="str">
        <f t="shared" si="39"/>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INDEX(products!$A$1:$G$49,MATCH($D825,products!$A$1:$A$49,0),MATCH(I$1,products!$A$1:$G$1,0))</f>
        <v>Lib</v>
      </c>
      <c r="J825" t="str">
        <f>INDEX(products!$A$1:$G$49,MATCH($D825,products!$A$1:$A$49,0),MATCH(J$1,products!$A$1:$G$1,0))</f>
        <v>L</v>
      </c>
      <c r="K825" s="4">
        <f>INDEX(products!$A$1:$G$49,MATCH($D825,products!$A$1:$A$49,0),MATCH(K$1,products!$A$1:$G$1,0))</f>
        <v>1</v>
      </c>
      <c r="L825" s="5">
        <f>INDEX(products!$A$1:$G$49,MATCH($D825,products!$A$1:$A$49,0),MATCH(L$1,products!$A$1:$G$1,0))</f>
        <v>15.85</v>
      </c>
      <c r="M825" s="5">
        <f t="shared" si="37"/>
        <v>47.55</v>
      </c>
      <c r="N825" t="str">
        <f t="shared" si="39"/>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INDEX(products!$A$1:$G$49,MATCH($D826,products!$A$1:$A$49,0),MATCH(I$1,products!$A$1:$G$1,0))</f>
        <v>Ara</v>
      </c>
      <c r="J826" t="str">
        <f>INDEX(products!$A$1:$G$49,MATCH($D826,products!$A$1:$A$49,0),MATCH(J$1,products!$A$1:$G$1,0))</f>
        <v>M</v>
      </c>
      <c r="K826" s="4">
        <f>INDEX(products!$A$1:$G$49,MATCH($D826,products!$A$1:$A$49,0),MATCH(K$1,products!$A$1:$G$1,0))</f>
        <v>0.2</v>
      </c>
      <c r="L826" s="5">
        <f>INDEX(products!$A$1:$G$49,MATCH($D826,products!$A$1:$A$49,0),MATCH(L$1,products!$A$1:$G$1,0))</f>
        <v>3.375</v>
      </c>
      <c r="M826" s="5">
        <f t="shared" si="37"/>
        <v>16.875</v>
      </c>
      <c r="N826" t="str">
        <f t="shared" si="39"/>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INDEX(products!$A$1:$G$49,MATCH($D827,products!$A$1:$A$49,0),MATCH(I$1,products!$A$1:$G$1,0))</f>
        <v>Ara</v>
      </c>
      <c r="J827" t="str">
        <f>INDEX(products!$A$1:$G$49,MATCH($D827,products!$A$1:$A$49,0),MATCH(J$1,products!$A$1:$G$1,0))</f>
        <v>D</v>
      </c>
      <c r="K827" s="4">
        <f>INDEX(products!$A$1:$G$49,MATCH($D827,products!$A$1:$A$49,0),MATCH(K$1,products!$A$1:$G$1,0))</f>
        <v>1</v>
      </c>
      <c r="L827" s="5">
        <f>INDEX(products!$A$1:$G$49,MATCH($D827,products!$A$1:$A$49,0),MATCH(L$1,products!$A$1:$G$1,0))</f>
        <v>9.9499999999999993</v>
      </c>
      <c r="M827" s="5">
        <f t="shared" si="37"/>
        <v>29.849999999999998</v>
      </c>
      <c r="N827" t="str">
        <f t="shared" si="39"/>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INDEX(products!$A$1:$G$49,MATCH($D828,products!$A$1:$A$49,0),MATCH(I$1,products!$A$1:$G$1,0))</f>
        <v>Exc</v>
      </c>
      <c r="J828" t="str">
        <f>INDEX(products!$A$1:$G$49,MATCH($D828,products!$A$1:$A$49,0),MATCH(J$1,products!$A$1:$G$1,0))</f>
        <v>M</v>
      </c>
      <c r="K828" s="4">
        <f>INDEX(products!$A$1:$G$49,MATCH($D828,products!$A$1:$A$49,0),MATCH(K$1,products!$A$1:$G$1,0))</f>
        <v>0.5</v>
      </c>
      <c r="L828" s="5">
        <f>INDEX(products!$A$1:$G$49,MATCH($D828,products!$A$1:$A$49,0),MATCH(L$1,products!$A$1:$G$1,0))</f>
        <v>8.25</v>
      </c>
      <c r="M828" s="5">
        <f t="shared" si="37"/>
        <v>41.25</v>
      </c>
      <c r="N828" t="str">
        <f t="shared" si="39"/>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INDEX(products!$A$1:$G$49,MATCH($D829,products!$A$1:$A$49,0),MATCH(I$1,products!$A$1:$G$1,0))</f>
        <v>Exc</v>
      </c>
      <c r="J829" t="str">
        <f>INDEX(products!$A$1:$G$49,MATCH($D829,products!$A$1:$A$49,0),MATCH(J$1,products!$A$1:$G$1,0))</f>
        <v>M</v>
      </c>
      <c r="K829" s="4">
        <f>INDEX(products!$A$1:$G$49,MATCH($D829,products!$A$1:$A$49,0),MATCH(K$1,products!$A$1:$G$1,0))</f>
        <v>0.2</v>
      </c>
      <c r="L829" s="5">
        <f>INDEX(products!$A$1:$G$49,MATCH($D829,products!$A$1:$A$49,0),MATCH(L$1,products!$A$1:$G$1,0))</f>
        <v>4.125</v>
      </c>
      <c r="M829" s="5">
        <f t="shared" si="37"/>
        <v>20.625</v>
      </c>
      <c r="N829" t="str">
        <f t="shared" si="39"/>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INDEX(products!$A$1:$G$49,MATCH($D830,products!$A$1:$A$49,0),MATCH(I$1,products!$A$1:$G$1,0))</f>
        <v>Ara</v>
      </c>
      <c r="J830" t="str">
        <f>INDEX(products!$A$1:$G$49,MATCH($D830,products!$A$1:$A$49,0),MATCH(J$1,products!$A$1:$G$1,0))</f>
        <v>D</v>
      </c>
      <c r="K830" s="4">
        <f>INDEX(products!$A$1:$G$49,MATCH($D830,products!$A$1:$A$49,0),MATCH(K$1,products!$A$1:$G$1,0))</f>
        <v>2.5</v>
      </c>
      <c r="L830" s="5">
        <f>INDEX(products!$A$1:$G$49,MATCH($D830,products!$A$1:$A$49,0),MATCH(L$1,products!$A$1:$G$1,0))</f>
        <v>22.884999999999998</v>
      </c>
      <c r="M830" s="5">
        <f t="shared" si="37"/>
        <v>137.31</v>
      </c>
      <c r="N830" t="str">
        <f t="shared" si="39"/>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INDEX(products!$A$1:$G$49,MATCH($D831,products!$A$1:$A$49,0),MATCH(I$1,products!$A$1:$G$1,0))</f>
        <v>Ara</v>
      </c>
      <c r="J831" t="str">
        <f>INDEX(products!$A$1:$G$49,MATCH($D831,products!$A$1:$A$49,0),MATCH(J$1,products!$A$1:$G$1,0))</f>
        <v>D</v>
      </c>
      <c r="K831" s="4">
        <f>INDEX(products!$A$1:$G$49,MATCH($D831,products!$A$1:$A$49,0),MATCH(K$1,products!$A$1:$G$1,0))</f>
        <v>0.2</v>
      </c>
      <c r="L831" s="5">
        <f>INDEX(products!$A$1:$G$49,MATCH($D831,products!$A$1:$A$49,0),MATCH(L$1,products!$A$1:$G$1,0))</f>
        <v>2.9849999999999999</v>
      </c>
      <c r="M831" s="5">
        <f t="shared" si="37"/>
        <v>2.9849999999999999</v>
      </c>
      <c r="N831" t="str">
        <f t="shared" si="39"/>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INDEX(products!$A$1:$G$49,MATCH($D832,products!$A$1:$A$49,0),MATCH(I$1,products!$A$1:$G$1,0))</f>
        <v>Exc</v>
      </c>
      <c r="J832" t="str">
        <f>INDEX(products!$A$1:$G$49,MATCH($D832,products!$A$1:$A$49,0),MATCH(J$1,products!$A$1:$G$1,0))</f>
        <v>M</v>
      </c>
      <c r="K832" s="4">
        <f>INDEX(products!$A$1:$G$49,MATCH($D832,products!$A$1:$A$49,0),MATCH(K$1,products!$A$1:$G$1,0))</f>
        <v>1</v>
      </c>
      <c r="L832" s="5">
        <f>INDEX(products!$A$1:$G$49,MATCH($D832,products!$A$1:$A$49,0),MATCH(L$1,products!$A$1:$G$1,0))</f>
        <v>13.75</v>
      </c>
      <c r="M832" s="5">
        <f t="shared" si="37"/>
        <v>27.5</v>
      </c>
      <c r="N832" t="str">
        <f t="shared" si="39"/>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INDEX(products!$A$1:$G$49,MATCH($D833,products!$A$1:$A$49,0),MATCH(I$1,products!$A$1:$G$1,0))</f>
        <v>Ara</v>
      </c>
      <c r="J833" t="str">
        <f>INDEX(products!$A$1:$G$49,MATCH($D833,products!$A$1:$A$49,0),MATCH(J$1,products!$A$1:$G$1,0))</f>
        <v>D</v>
      </c>
      <c r="K833" s="4">
        <f>INDEX(products!$A$1:$G$49,MATCH($D833,products!$A$1:$A$49,0),MATCH(K$1,products!$A$1:$G$1,0))</f>
        <v>0.2</v>
      </c>
      <c r="L833" s="5">
        <f>INDEX(products!$A$1:$G$49,MATCH($D833,products!$A$1:$A$49,0),MATCH(L$1,products!$A$1:$G$1,0))</f>
        <v>2.9849999999999999</v>
      </c>
      <c r="M833" s="5">
        <f t="shared" si="37"/>
        <v>5.97</v>
      </c>
      <c r="N833" t="str">
        <f t="shared" si="39"/>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INDEX(products!$A$1:$G$49,MATCH($D834,products!$A$1:$A$49,0),MATCH(I$1,products!$A$1:$G$1,0))</f>
        <v>Rob</v>
      </c>
      <c r="J834" t="str">
        <f>INDEX(products!$A$1:$G$49,MATCH($D834,products!$A$1:$A$49,0),MATCH(J$1,products!$A$1:$G$1,0))</f>
        <v>M</v>
      </c>
      <c r="K834" s="4">
        <f>INDEX(products!$A$1:$G$49,MATCH($D834,products!$A$1:$A$49,0),MATCH(K$1,products!$A$1:$G$1,0))</f>
        <v>1</v>
      </c>
      <c r="L834" s="5">
        <f>INDEX(products!$A$1:$G$49,MATCH($D834,products!$A$1:$A$49,0),MATCH(L$1,products!$A$1:$G$1,0))</f>
        <v>9.9499999999999993</v>
      </c>
      <c r="M834" s="5">
        <f t="shared" si="37"/>
        <v>59.699999999999996</v>
      </c>
      <c r="N834" t="str">
        <f t="shared" si="39"/>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INDEX(products!$A$1:$G$49,MATCH($D835,products!$A$1:$A$49,0),MATCH(I$1,products!$A$1:$G$1,0))</f>
        <v>Rob</v>
      </c>
      <c r="J835" t="str">
        <f>INDEX(products!$A$1:$G$49,MATCH($D835,products!$A$1:$A$49,0),MATCH(J$1,products!$A$1:$G$1,0))</f>
        <v>D</v>
      </c>
      <c r="K835" s="4">
        <f>INDEX(products!$A$1:$G$49,MATCH($D835,products!$A$1:$A$49,0),MATCH(K$1,products!$A$1:$G$1,0))</f>
        <v>2.5</v>
      </c>
      <c r="L835" s="5">
        <f>INDEX(products!$A$1:$G$49,MATCH($D835,products!$A$1:$A$49,0),MATCH(L$1,products!$A$1:$G$1,0))</f>
        <v>20.584999999999997</v>
      </c>
      <c r="M835" s="5">
        <f t="shared" ref="M835:M898" si="40">L835*E835</f>
        <v>82.339999999999989</v>
      </c>
      <c r="N835" t="str">
        <f t="shared" si="39"/>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INDEX(products!$A$1:$G$49,MATCH($D836,products!$A$1:$A$49,0),MATCH(I$1,products!$A$1:$G$1,0))</f>
        <v>Ara</v>
      </c>
      <c r="J836" t="str">
        <f>INDEX(products!$A$1:$G$49,MATCH($D836,products!$A$1:$A$49,0),MATCH(J$1,products!$A$1:$G$1,0))</f>
        <v>D</v>
      </c>
      <c r="K836" s="4">
        <f>INDEX(products!$A$1:$G$49,MATCH($D836,products!$A$1:$A$49,0),MATCH(K$1,products!$A$1:$G$1,0))</f>
        <v>2.5</v>
      </c>
      <c r="L836" s="5">
        <f>INDEX(products!$A$1:$G$49,MATCH($D836,products!$A$1:$A$49,0),MATCH(L$1,products!$A$1:$G$1,0))</f>
        <v>22.884999999999998</v>
      </c>
      <c r="M836" s="5">
        <f t="shared" si="40"/>
        <v>22.884999999999998</v>
      </c>
      <c r="N836" t="str">
        <f t="shared" si="39"/>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INDEX(products!$A$1:$G$49,MATCH($D837,products!$A$1:$A$49,0),MATCH(I$1,products!$A$1:$G$1,0))</f>
        <v>Exc</v>
      </c>
      <c r="J837" t="str">
        <f>INDEX(products!$A$1:$G$49,MATCH($D837,products!$A$1:$A$49,0),MATCH(J$1,products!$A$1:$G$1,0))</f>
        <v>L</v>
      </c>
      <c r="K837" s="4">
        <f>INDEX(products!$A$1:$G$49,MATCH($D837,products!$A$1:$A$49,0),MATCH(K$1,products!$A$1:$G$1,0))</f>
        <v>0.5</v>
      </c>
      <c r="L837" s="5">
        <f>INDEX(products!$A$1:$G$49,MATCH($D837,products!$A$1:$A$49,0),MATCH(L$1,products!$A$1:$G$1,0))</f>
        <v>8.91</v>
      </c>
      <c r="M837" s="5">
        <f t="shared" si="40"/>
        <v>8.91</v>
      </c>
      <c r="N837" t="str">
        <f t="shared" si="39"/>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INDEX(products!$A$1:$G$49,MATCH($D838,products!$A$1:$A$49,0),MATCH(I$1,products!$A$1:$G$1,0))</f>
        <v>Ara</v>
      </c>
      <c r="J838" t="str">
        <f>INDEX(products!$A$1:$G$49,MATCH($D838,products!$A$1:$A$49,0),MATCH(J$1,products!$A$1:$G$1,0))</f>
        <v>D</v>
      </c>
      <c r="K838" s="4">
        <f>INDEX(products!$A$1:$G$49,MATCH($D838,products!$A$1:$A$49,0),MATCH(K$1,products!$A$1:$G$1,0))</f>
        <v>0.2</v>
      </c>
      <c r="L838" s="5">
        <f>INDEX(products!$A$1:$G$49,MATCH($D838,products!$A$1:$A$49,0),MATCH(L$1,products!$A$1:$G$1,0))</f>
        <v>2.9849999999999999</v>
      </c>
      <c r="M838" s="5">
        <f t="shared" si="40"/>
        <v>11.94</v>
      </c>
      <c r="N838" t="str">
        <f t="shared" si="39"/>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f>
        <v>Allis Wilmore</v>
      </c>
      <c r="G839" s="2" t="str">
        <f>IF(_xlfn.XLOOKUP(C839,customers!$A$1:$A$1001,customers!$C$1:$C$1001,,0)=0,"",_xlfn.XLOOKUP(C839,customers!$A$1:$A$1001,customers!$C$1:$C$1001,,0))</f>
        <v/>
      </c>
      <c r="H839" s="2" t="str">
        <f>_xlfn.XLOOKUP(C839,customers!$A$1:$A$1001,customers!$G$1:$G$1001,,0)</f>
        <v>United States</v>
      </c>
      <c r="I839" t="str">
        <f>INDEX(products!$A$1:$G$49,MATCH($D839,products!$A$1:$A$49,0),MATCH(I$1,products!$A$1:$G$1,0))</f>
        <v>Lib</v>
      </c>
      <c r="J839" t="str">
        <f>INDEX(products!$A$1:$G$49,MATCH($D839,products!$A$1:$A$49,0),MATCH(J$1,products!$A$1:$G$1,0))</f>
        <v>M</v>
      </c>
      <c r="K839" s="4">
        <f>INDEX(products!$A$1:$G$49,MATCH($D839,products!$A$1:$A$49,0),MATCH(K$1,products!$A$1:$G$1,0))</f>
        <v>2.5</v>
      </c>
      <c r="L839" s="5">
        <f>INDEX(products!$A$1:$G$49,MATCH($D839,products!$A$1:$A$49,0),MATCH(L$1,products!$A$1:$G$1,0))</f>
        <v>33.464999999999996</v>
      </c>
      <c r="M839" s="5">
        <f t="shared" si="40"/>
        <v>100.39499999999998</v>
      </c>
      <c r="N839" t="str">
        <f t="shared" ref="N839:N902" si="42">IF(I839="Rob","Robusta",IF(I839="Ara","Arabica",IF(I839="Exc","Excelsa",IF(I839="Lib","Liberica",""))))</f>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INDEX(products!$A$1:$G$49,MATCH($D840,products!$A$1:$A$49,0),MATCH(I$1,products!$A$1:$G$1,0))</f>
        <v>Ara</v>
      </c>
      <c r="J840" t="str">
        <f>INDEX(products!$A$1:$G$49,MATCH($D840,products!$A$1:$A$49,0),MATCH(J$1,products!$A$1:$G$1,0))</f>
        <v>D</v>
      </c>
      <c r="K840" s="4">
        <f>INDEX(products!$A$1:$G$49,MATCH($D840,products!$A$1:$A$49,0),MATCH(K$1,products!$A$1:$G$1,0))</f>
        <v>2.5</v>
      </c>
      <c r="L840" s="5">
        <f>INDEX(products!$A$1:$G$49,MATCH($D840,products!$A$1:$A$49,0),MATCH(L$1,products!$A$1:$G$1,0))</f>
        <v>22.884999999999998</v>
      </c>
      <c r="M840" s="5">
        <f t="shared" si="40"/>
        <v>114.42499999999998</v>
      </c>
      <c r="N840" t="str">
        <f t="shared" si="42"/>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INDEX(products!$A$1:$G$49,MATCH($D841,products!$A$1:$A$49,0),MATCH(I$1,products!$A$1:$G$1,0))</f>
        <v>Exc</v>
      </c>
      <c r="J841" t="str">
        <f>INDEX(products!$A$1:$G$49,MATCH($D841,products!$A$1:$A$49,0),MATCH(J$1,products!$A$1:$G$1,0))</f>
        <v>M</v>
      </c>
      <c r="K841" s="4">
        <f>INDEX(products!$A$1:$G$49,MATCH($D841,products!$A$1:$A$49,0),MATCH(K$1,products!$A$1:$G$1,0))</f>
        <v>0.5</v>
      </c>
      <c r="L841" s="5">
        <f>INDEX(products!$A$1:$G$49,MATCH($D841,products!$A$1:$A$49,0),MATCH(L$1,products!$A$1:$G$1,0))</f>
        <v>8.25</v>
      </c>
      <c r="M841" s="5">
        <f t="shared" si="40"/>
        <v>41.25</v>
      </c>
      <c r="N841" t="str">
        <f t="shared" si="42"/>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INDEX(products!$A$1:$G$49,MATCH($D842,products!$A$1:$A$49,0),MATCH(I$1,products!$A$1:$G$1,0))</f>
        <v>Rob</v>
      </c>
      <c r="J842" t="str">
        <f>INDEX(products!$A$1:$G$49,MATCH($D842,products!$A$1:$A$49,0),MATCH(J$1,products!$A$1:$G$1,0))</f>
        <v>L</v>
      </c>
      <c r="K842" s="4">
        <f>INDEX(products!$A$1:$G$49,MATCH($D842,products!$A$1:$A$49,0),MATCH(K$1,products!$A$1:$G$1,0))</f>
        <v>0.5</v>
      </c>
      <c r="L842" s="5">
        <f>INDEX(products!$A$1:$G$49,MATCH($D842,products!$A$1:$A$49,0),MATCH(L$1,products!$A$1:$G$1,0))</f>
        <v>7.169999999999999</v>
      </c>
      <c r="M842" s="5">
        <f t="shared" si="40"/>
        <v>28.679999999999996</v>
      </c>
      <c r="N842" t="str">
        <f t="shared" si="42"/>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INDEX(products!$A$1:$G$49,MATCH($D843,products!$A$1:$A$49,0),MATCH(I$1,products!$A$1:$G$1,0))</f>
        <v>Lib</v>
      </c>
      <c r="J843" t="str">
        <f>INDEX(products!$A$1:$G$49,MATCH($D843,products!$A$1:$A$49,0),MATCH(J$1,products!$A$1:$G$1,0))</f>
        <v>M</v>
      </c>
      <c r="K843" s="4">
        <f>INDEX(products!$A$1:$G$49,MATCH($D843,products!$A$1:$A$49,0),MATCH(K$1,products!$A$1:$G$1,0))</f>
        <v>0.2</v>
      </c>
      <c r="L843" s="5">
        <f>INDEX(products!$A$1:$G$49,MATCH($D843,products!$A$1:$A$49,0),MATCH(L$1,products!$A$1:$G$1,0))</f>
        <v>4.3650000000000002</v>
      </c>
      <c r="M843" s="5">
        <f t="shared" si="40"/>
        <v>4.3650000000000002</v>
      </c>
      <c r="N843" t="str">
        <f t="shared" si="42"/>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INDEX(products!$A$1:$G$49,MATCH($D844,products!$A$1:$A$49,0),MATCH(I$1,products!$A$1:$G$1,0))</f>
        <v>Exc</v>
      </c>
      <c r="J844" t="str">
        <f>INDEX(products!$A$1:$G$49,MATCH($D844,products!$A$1:$A$49,0),MATCH(J$1,products!$A$1:$G$1,0))</f>
        <v>M</v>
      </c>
      <c r="K844" s="4">
        <f>INDEX(products!$A$1:$G$49,MATCH($D844,products!$A$1:$A$49,0),MATCH(K$1,products!$A$1:$G$1,0))</f>
        <v>0.2</v>
      </c>
      <c r="L844" s="5">
        <f>INDEX(products!$A$1:$G$49,MATCH($D844,products!$A$1:$A$49,0),MATCH(L$1,products!$A$1:$G$1,0))</f>
        <v>4.125</v>
      </c>
      <c r="M844" s="5">
        <f t="shared" si="40"/>
        <v>8.25</v>
      </c>
      <c r="N844" t="str">
        <f t="shared" si="42"/>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INDEX(products!$A$1:$G$49,MATCH($D845,products!$A$1:$A$49,0),MATCH(I$1,products!$A$1:$G$1,0))</f>
        <v>Exc</v>
      </c>
      <c r="J845" t="str">
        <f>INDEX(products!$A$1:$G$49,MATCH($D845,products!$A$1:$A$49,0),MATCH(J$1,products!$A$1:$G$1,0))</f>
        <v>M</v>
      </c>
      <c r="K845" s="4">
        <f>INDEX(products!$A$1:$G$49,MATCH($D845,products!$A$1:$A$49,0),MATCH(K$1,products!$A$1:$G$1,0))</f>
        <v>0.2</v>
      </c>
      <c r="L845" s="5">
        <f>INDEX(products!$A$1:$G$49,MATCH($D845,products!$A$1:$A$49,0),MATCH(L$1,products!$A$1:$G$1,0))</f>
        <v>4.125</v>
      </c>
      <c r="M845" s="5">
        <f t="shared" si="40"/>
        <v>8.25</v>
      </c>
      <c r="N845" t="str">
        <f t="shared" si="42"/>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INDEX(products!$A$1:$G$49,MATCH($D846,products!$A$1:$A$49,0),MATCH(I$1,products!$A$1:$G$1,0))</f>
        <v>Ara</v>
      </c>
      <c r="J846" t="str">
        <f>INDEX(products!$A$1:$G$49,MATCH($D846,products!$A$1:$A$49,0),MATCH(J$1,products!$A$1:$G$1,0))</f>
        <v>D</v>
      </c>
      <c r="K846" s="4">
        <f>INDEX(products!$A$1:$G$49,MATCH($D846,products!$A$1:$A$49,0),MATCH(K$1,products!$A$1:$G$1,0))</f>
        <v>0.5</v>
      </c>
      <c r="L846" s="5">
        <f>INDEX(products!$A$1:$G$49,MATCH($D846,products!$A$1:$A$49,0),MATCH(L$1,products!$A$1:$G$1,0))</f>
        <v>5.97</v>
      </c>
      <c r="M846" s="5">
        <f t="shared" si="40"/>
        <v>35.82</v>
      </c>
      <c r="N846" t="str">
        <f t="shared" si="42"/>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INDEX(products!$A$1:$G$49,MATCH($D847,products!$A$1:$A$49,0),MATCH(I$1,products!$A$1:$G$1,0))</f>
        <v>Exc</v>
      </c>
      <c r="J847" t="str">
        <f>INDEX(products!$A$1:$G$49,MATCH($D847,products!$A$1:$A$49,0),MATCH(J$1,products!$A$1:$G$1,0))</f>
        <v>D</v>
      </c>
      <c r="K847" s="4">
        <f>INDEX(products!$A$1:$G$49,MATCH($D847,products!$A$1:$A$49,0),MATCH(K$1,products!$A$1:$G$1,0))</f>
        <v>2.5</v>
      </c>
      <c r="L847" s="5">
        <f>INDEX(products!$A$1:$G$49,MATCH($D847,products!$A$1:$A$49,0),MATCH(L$1,products!$A$1:$G$1,0))</f>
        <v>27.945</v>
      </c>
      <c r="M847" s="5">
        <f t="shared" si="40"/>
        <v>167.67000000000002</v>
      </c>
      <c r="N847" t="str">
        <f t="shared" si="42"/>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f>
        <v>Edin Mathe</v>
      </c>
      <c r="G848" s="2" t="str">
        <f>IF(_xlfn.XLOOKUP(C848,customers!$A$1:$A$1001,customers!$C$1:$C$1001,,0)=0,"",_xlfn.XLOOKUP(C848,customers!$A$1:$A$1001,customers!$C$1:$C$1001,,0))</f>
        <v/>
      </c>
      <c r="H848" s="2" t="str">
        <f>_xlfn.XLOOKUP(C848,customers!$A$1:$A$1001,customers!$G$1:$G$1001,,0)</f>
        <v>United States</v>
      </c>
      <c r="I848" t="str">
        <f>INDEX(products!$A$1:$G$49,MATCH($D848,products!$A$1:$A$49,0),MATCH(I$1,products!$A$1:$G$1,0))</f>
        <v>Ara</v>
      </c>
      <c r="J848" t="str">
        <f>INDEX(products!$A$1:$G$49,MATCH($D848,products!$A$1:$A$49,0),MATCH(J$1,products!$A$1:$G$1,0))</f>
        <v>M</v>
      </c>
      <c r="K848" s="4">
        <f>INDEX(products!$A$1:$G$49,MATCH($D848,products!$A$1:$A$49,0),MATCH(K$1,products!$A$1:$G$1,0))</f>
        <v>2.5</v>
      </c>
      <c r="L848" s="5">
        <f>INDEX(products!$A$1:$G$49,MATCH($D848,products!$A$1:$A$49,0),MATCH(L$1,products!$A$1:$G$1,0))</f>
        <v>25.874999999999996</v>
      </c>
      <c r="M848" s="5">
        <f t="shared" si="40"/>
        <v>51.749999999999993</v>
      </c>
      <c r="N848" t="str">
        <f t="shared" si="42"/>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INDEX(products!$A$1:$G$49,MATCH($D849,products!$A$1:$A$49,0),MATCH(I$1,products!$A$1:$G$1,0))</f>
        <v>Ara</v>
      </c>
      <c r="J849" t="str">
        <f>INDEX(products!$A$1:$G$49,MATCH($D849,products!$A$1:$A$49,0),MATCH(J$1,products!$A$1:$G$1,0))</f>
        <v>D</v>
      </c>
      <c r="K849" s="4">
        <f>INDEX(products!$A$1:$G$49,MATCH($D849,products!$A$1:$A$49,0),MATCH(K$1,products!$A$1:$G$1,0))</f>
        <v>0.2</v>
      </c>
      <c r="L849" s="5">
        <f>INDEX(products!$A$1:$G$49,MATCH($D849,products!$A$1:$A$49,0),MATCH(L$1,products!$A$1:$G$1,0))</f>
        <v>2.9849999999999999</v>
      </c>
      <c r="M849" s="5">
        <f t="shared" si="40"/>
        <v>8.9550000000000001</v>
      </c>
      <c r="N849" t="str">
        <f t="shared" si="42"/>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f>
        <v>Spencer Wastell</v>
      </c>
      <c r="G850" s="2" t="str">
        <f>IF(_xlfn.XLOOKUP(C850,customers!$A$1:$A$1001,customers!$C$1:$C$1001,,0)=0,"",_xlfn.XLOOKUP(C850,customers!$A$1:$A$1001,customers!$C$1:$C$1001,,0))</f>
        <v/>
      </c>
      <c r="H850" s="2" t="str">
        <f>_xlfn.XLOOKUP(C850,customers!$A$1:$A$1001,customers!$G$1:$G$1001,,0)</f>
        <v>United States</v>
      </c>
      <c r="I850" t="str">
        <f>INDEX(products!$A$1:$G$49,MATCH($D850,products!$A$1:$A$49,0),MATCH(I$1,products!$A$1:$G$1,0))</f>
        <v>Exc</v>
      </c>
      <c r="J850" t="str">
        <f>INDEX(products!$A$1:$G$49,MATCH($D850,products!$A$1:$A$49,0),MATCH(J$1,products!$A$1:$G$1,0))</f>
        <v>L</v>
      </c>
      <c r="K850" s="4">
        <f>INDEX(products!$A$1:$G$49,MATCH($D850,products!$A$1:$A$49,0),MATCH(K$1,products!$A$1:$G$1,0))</f>
        <v>0.5</v>
      </c>
      <c r="L850" s="5">
        <f>INDEX(products!$A$1:$G$49,MATCH($D850,products!$A$1:$A$49,0),MATCH(L$1,products!$A$1:$G$1,0))</f>
        <v>8.91</v>
      </c>
      <c r="M850" s="5">
        <f t="shared" si="40"/>
        <v>53.46</v>
      </c>
      <c r="N850" t="str">
        <f t="shared" si="42"/>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INDEX(products!$A$1:$G$49,MATCH($D851,products!$A$1:$A$49,0),MATCH(I$1,products!$A$1:$G$1,0))</f>
        <v>Ara</v>
      </c>
      <c r="J851" t="str">
        <f>INDEX(products!$A$1:$G$49,MATCH($D851,products!$A$1:$A$49,0),MATCH(J$1,products!$A$1:$G$1,0))</f>
        <v>L</v>
      </c>
      <c r="K851" s="4">
        <f>INDEX(products!$A$1:$G$49,MATCH($D851,products!$A$1:$A$49,0),MATCH(K$1,products!$A$1:$G$1,0))</f>
        <v>0.2</v>
      </c>
      <c r="L851" s="5">
        <f>INDEX(products!$A$1:$G$49,MATCH($D851,products!$A$1:$A$49,0),MATCH(L$1,products!$A$1:$G$1,0))</f>
        <v>3.8849999999999998</v>
      </c>
      <c r="M851" s="5">
        <f t="shared" si="40"/>
        <v>23.31</v>
      </c>
      <c r="N851" t="str">
        <f t="shared" si="42"/>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INDEX(products!$A$1:$G$49,MATCH($D852,products!$A$1:$A$49,0),MATCH(I$1,products!$A$1:$G$1,0))</f>
        <v>Ara</v>
      </c>
      <c r="J852" t="str">
        <f>INDEX(products!$A$1:$G$49,MATCH($D852,products!$A$1:$A$49,0),MATCH(J$1,products!$A$1:$G$1,0))</f>
        <v>M</v>
      </c>
      <c r="K852" s="4">
        <f>INDEX(products!$A$1:$G$49,MATCH($D852,products!$A$1:$A$49,0),MATCH(K$1,products!$A$1:$G$1,0))</f>
        <v>0.2</v>
      </c>
      <c r="L852" s="5">
        <f>INDEX(products!$A$1:$G$49,MATCH($D852,products!$A$1:$A$49,0),MATCH(L$1,products!$A$1:$G$1,0))</f>
        <v>3.375</v>
      </c>
      <c r="M852" s="5">
        <f t="shared" si="40"/>
        <v>6.75</v>
      </c>
      <c r="N852" t="str">
        <f t="shared" si="42"/>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INDEX(products!$A$1:$G$49,MATCH($D853,products!$A$1:$A$49,0),MATCH(I$1,products!$A$1:$G$1,0))</f>
        <v>Lib</v>
      </c>
      <c r="J853" t="str">
        <f>INDEX(products!$A$1:$G$49,MATCH($D853,products!$A$1:$A$49,0),MATCH(J$1,products!$A$1:$G$1,0))</f>
        <v>D</v>
      </c>
      <c r="K853" s="4">
        <f>INDEX(products!$A$1:$G$49,MATCH($D853,products!$A$1:$A$49,0),MATCH(K$1,products!$A$1:$G$1,0))</f>
        <v>0.5</v>
      </c>
      <c r="L853" s="5">
        <f>INDEX(products!$A$1:$G$49,MATCH($D853,products!$A$1:$A$49,0),MATCH(L$1,products!$A$1:$G$1,0))</f>
        <v>7.77</v>
      </c>
      <c r="M853" s="5">
        <f t="shared" si="40"/>
        <v>7.77</v>
      </c>
      <c r="N853" t="str">
        <f t="shared" si="42"/>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INDEX(products!$A$1:$G$49,MATCH($D854,products!$A$1:$A$49,0),MATCH(I$1,products!$A$1:$G$1,0))</f>
        <v>Lib</v>
      </c>
      <c r="J854" t="str">
        <f>INDEX(products!$A$1:$G$49,MATCH($D854,products!$A$1:$A$49,0),MATCH(J$1,products!$A$1:$G$1,0))</f>
        <v>D</v>
      </c>
      <c r="K854" s="4">
        <f>INDEX(products!$A$1:$G$49,MATCH($D854,products!$A$1:$A$49,0),MATCH(K$1,products!$A$1:$G$1,0))</f>
        <v>2.5</v>
      </c>
      <c r="L854" s="5">
        <f>INDEX(products!$A$1:$G$49,MATCH($D854,products!$A$1:$A$49,0),MATCH(L$1,products!$A$1:$G$1,0))</f>
        <v>29.784999999999997</v>
      </c>
      <c r="M854" s="5">
        <f t="shared" si="40"/>
        <v>119.13999999999999</v>
      </c>
      <c r="N854" t="str">
        <f t="shared" si="42"/>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INDEX(products!$A$1:$G$49,MATCH($D855,products!$A$1:$A$49,0),MATCH(I$1,products!$A$1:$G$1,0))</f>
        <v>Ara</v>
      </c>
      <c r="J855" t="str">
        <f>INDEX(products!$A$1:$G$49,MATCH($D855,products!$A$1:$A$49,0),MATCH(J$1,products!$A$1:$G$1,0))</f>
        <v>D</v>
      </c>
      <c r="K855" s="4">
        <f>INDEX(products!$A$1:$G$49,MATCH($D855,products!$A$1:$A$49,0),MATCH(K$1,products!$A$1:$G$1,0))</f>
        <v>1</v>
      </c>
      <c r="L855" s="5">
        <f>INDEX(products!$A$1:$G$49,MATCH($D855,products!$A$1:$A$49,0),MATCH(L$1,products!$A$1:$G$1,0))</f>
        <v>9.9499999999999993</v>
      </c>
      <c r="M855" s="5">
        <f t="shared" si="40"/>
        <v>19.899999999999999</v>
      </c>
      <c r="N855" t="str">
        <f t="shared" si="42"/>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INDEX(products!$A$1:$G$49,MATCH($D856,products!$A$1:$A$49,0),MATCH(I$1,products!$A$1:$G$1,0))</f>
        <v>Rob</v>
      </c>
      <c r="J856" t="str">
        <f>INDEX(products!$A$1:$G$49,MATCH($D856,products!$A$1:$A$49,0),MATCH(J$1,products!$A$1:$G$1,0))</f>
        <v>L</v>
      </c>
      <c r="K856" s="4">
        <f>INDEX(products!$A$1:$G$49,MATCH($D856,products!$A$1:$A$49,0),MATCH(K$1,products!$A$1:$G$1,0))</f>
        <v>0.5</v>
      </c>
      <c r="L856" s="5">
        <f>INDEX(products!$A$1:$G$49,MATCH($D856,products!$A$1:$A$49,0),MATCH(L$1,products!$A$1:$G$1,0))</f>
        <v>7.169999999999999</v>
      </c>
      <c r="M856" s="5">
        <f t="shared" si="40"/>
        <v>35.849999999999994</v>
      </c>
      <c r="N856" t="str">
        <f t="shared" si="42"/>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INDEX(products!$A$1:$G$49,MATCH($D857,products!$A$1:$A$49,0),MATCH(I$1,products!$A$1:$G$1,0))</f>
        <v>Lib</v>
      </c>
      <c r="J857" t="str">
        <f>INDEX(products!$A$1:$G$49,MATCH($D857,products!$A$1:$A$49,0),MATCH(J$1,products!$A$1:$G$1,0))</f>
        <v>D</v>
      </c>
      <c r="K857" s="4">
        <f>INDEX(products!$A$1:$G$49,MATCH($D857,products!$A$1:$A$49,0),MATCH(K$1,products!$A$1:$G$1,0))</f>
        <v>2.5</v>
      </c>
      <c r="L857" s="5">
        <f>INDEX(products!$A$1:$G$49,MATCH($D857,products!$A$1:$A$49,0),MATCH(L$1,products!$A$1:$G$1,0))</f>
        <v>29.784999999999997</v>
      </c>
      <c r="M857" s="5">
        <f t="shared" si="40"/>
        <v>89.35499999999999</v>
      </c>
      <c r="N857" t="str">
        <f t="shared" si="42"/>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INDEX(products!$A$1:$G$49,MATCH($D858,products!$A$1:$A$49,0),MATCH(I$1,products!$A$1:$G$1,0))</f>
        <v>Lib</v>
      </c>
      <c r="J858" t="str">
        <f>INDEX(products!$A$1:$G$49,MATCH($D858,products!$A$1:$A$49,0),MATCH(J$1,products!$A$1:$G$1,0))</f>
        <v>M</v>
      </c>
      <c r="K858" s="4">
        <f>INDEX(products!$A$1:$G$49,MATCH($D858,products!$A$1:$A$49,0),MATCH(K$1,products!$A$1:$G$1,0))</f>
        <v>0.2</v>
      </c>
      <c r="L858" s="5">
        <f>INDEX(products!$A$1:$G$49,MATCH($D858,products!$A$1:$A$49,0),MATCH(L$1,products!$A$1:$G$1,0))</f>
        <v>4.3650000000000002</v>
      </c>
      <c r="M858" s="5">
        <f t="shared" si="40"/>
        <v>8.73</v>
      </c>
      <c r="N858" t="str">
        <f t="shared" si="42"/>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INDEX(products!$A$1:$G$49,MATCH($D859,products!$A$1:$A$49,0),MATCH(I$1,products!$A$1:$G$1,0))</f>
        <v>Rob</v>
      </c>
      <c r="J859" t="str">
        <f>INDEX(products!$A$1:$G$49,MATCH($D859,products!$A$1:$A$49,0),MATCH(J$1,products!$A$1:$G$1,0))</f>
        <v>L</v>
      </c>
      <c r="K859" s="4">
        <f>INDEX(products!$A$1:$G$49,MATCH($D859,products!$A$1:$A$49,0),MATCH(K$1,products!$A$1:$G$1,0))</f>
        <v>2.5</v>
      </c>
      <c r="L859" s="5">
        <f>INDEX(products!$A$1:$G$49,MATCH($D859,products!$A$1:$A$49,0),MATCH(L$1,products!$A$1:$G$1,0))</f>
        <v>27.484999999999996</v>
      </c>
      <c r="M859" s="5">
        <f t="shared" si="40"/>
        <v>137.42499999999998</v>
      </c>
      <c r="N859" t="str">
        <f t="shared" si="42"/>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INDEX(products!$A$1:$G$49,MATCH($D860,products!$A$1:$A$49,0),MATCH(I$1,products!$A$1:$G$1,0))</f>
        <v>Lib</v>
      </c>
      <c r="J860" t="str">
        <f>INDEX(products!$A$1:$G$49,MATCH($D860,products!$A$1:$A$49,0),MATCH(J$1,products!$A$1:$G$1,0))</f>
        <v>M</v>
      </c>
      <c r="K860" s="4">
        <f>INDEX(products!$A$1:$G$49,MATCH($D860,products!$A$1:$A$49,0),MATCH(K$1,products!$A$1:$G$1,0))</f>
        <v>0.5</v>
      </c>
      <c r="L860" s="5">
        <f>INDEX(products!$A$1:$G$49,MATCH($D860,products!$A$1:$A$49,0),MATCH(L$1,products!$A$1:$G$1,0))</f>
        <v>8.73</v>
      </c>
      <c r="M860" s="5">
        <f t="shared" si="40"/>
        <v>34.92</v>
      </c>
      <c r="N860" t="str">
        <f t="shared" si="42"/>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INDEX(products!$A$1:$G$49,MATCH($D861,products!$A$1:$A$49,0),MATCH(I$1,products!$A$1:$G$1,0))</f>
        <v>Ara</v>
      </c>
      <c r="J861" t="str">
        <f>INDEX(products!$A$1:$G$49,MATCH($D861,products!$A$1:$A$49,0),MATCH(J$1,products!$A$1:$G$1,0))</f>
        <v>L</v>
      </c>
      <c r="K861" s="4">
        <f>INDEX(products!$A$1:$G$49,MATCH($D861,products!$A$1:$A$49,0),MATCH(K$1,products!$A$1:$G$1,0))</f>
        <v>2.5</v>
      </c>
      <c r="L861" s="5">
        <f>INDEX(products!$A$1:$G$49,MATCH($D861,products!$A$1:$A$49,0),MATCH(L$1,products!$A$1:$G$1,0))</f>
        <v>29.784999999999997</v>
      </c>
      <c r="M861" s="5">
        <f t="shared" si="40"/>
        <v>178.70999999999998</v>
      </c>
      <c r="N861" t="str">
        <f t="shared" si="42"/>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f>
        <v>Cece Inker</v>
      </c>
      <c r="G862" s="2" t="str">
        <f>IF(_xlfn.XLOOKUP(C862,customers!$A$1:$A$1001,customers!$C$1:$C$1001,,0)=0,"",_xlfn.XLOOKUP(C862,customers!$A$1:$A$1001,customers!$C$1:$C$1001,,0))</f>
        <v/>
      </c>
      <c r="H862" s="2" t="str">
        <f>_xlfn.XLOOKUP(C862,customers!$A$1:$A$1001,customers!$G$1:$G$1001,,0)</f>
        <v>United States</v>
      </c>
      <c r="I862" t="str">
        <f>INDEX(products!$A$1:$G$49,MATCH($D862,products!$A$1:$A$49,0),MATCH(I$1,products!$A$1:$G$1,0))</f>
        <v>Ara</v>
      </c>
      <c r="J862" t="str">
        <f>INDEX(products!$A$1:$G$49,MATCH($D862,products!$A$1:$A$49,0),MATCH(J$1,products!$A$1:$G$1,0))</f>
        <v>M</v>
      </c>
      <c r="K862" s="4">
        <f>INDEX(products!$A$1:$G$49,MATCH($D862,products!$A$1:$A$49,0),MATCH(K$1,products!$A$1:$G$1,0))</f>
        <v>2.5</v>
      </c>
      <c r="L862" s="5">
        <f>INDEX(products!$A$1:$G$49,MATCH($D862,products!$A$1:$A$49,0),MATCH(L$1,products!$A$1:$G$1,0))</f>
        <v>25.874999999999996</v>
      </c>
      <c r="M862" s="5">
        <f t="shared" si="40"/>
        <v>25.874999999999996</v>
      </c>
      <c r="N862" t="str">
        <f t="shared" si="42"/>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INDEX(products!$A$1:$G$49,MATCH($D863,products!$A$1:$A$49,0),MATCH(I$1,products!$A$1:$G$1,0))</f>
        <v>Lib</v>
      </c>
      <c r="J863" t="str">
        <f>INDEX(products!$A$1:$G$49,MATCH($D863,products!$A$1:$A$49,0),MATCH(J$1,products!$A$1:$G$1,0))</f>
        <v>D</v>
      </c>
      <c r="K863" s="4">
        <f>INDEX(products!$A$1:$G$49,MATCH($D863,products!$A$1:$A$49,0),MATCH(K$1,products!$A$1:$G$1,0))</f>
        <v>1</v>
      </c>
      <c r="L863" s="5">
        <f>INDEX(products!$A$1:$G$49,MATCH($D863,products!$A$1:$A$49,0),MATCH(L$1,products!$A$1:$G$1,0))</f>
        <v>12.95</v>
      </c>
      <c r="M863" s="5">
        <f t="shared" si="40"/>
        <v>77.699999999999989</v>
      </c>
      <c r="N863" t="str">
        <f t="shared" si="42"/>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INDEX(products!$A$1:$G$49,MATCH($D864,products!$A$1:$A$49,0),MATCH(I$1,products!$A$1:$G$1,0))</f>
        <v>Rob</v>
      </c>
      <c r="J864" t="str">
        <f>INDEX(products!$A$1:$G$49,MATCH($D864,products!$A$1:$A$49,0),MATCH(J$1,products!$A$1:$G$1,0))</f>
        <v>M</v>
      </c>
      <c r="K864" s="4">
        <f>INDEX(products!$A$1:$G$49,MATCH($D864,products!$A$1:$A$49,0),MATCH(K$1,products!$A$1:$G$1,0))</f>
        <v>1</v>
      </c>
      <c r="L864" s="5">
        <f>INDEX(products!$A$1:$G$49,MATCH($D864,products!$A$1:$A$49,0),MATCH(L$1,products!$A$1:$G$1,0))</f>
        <v>9.9499999999999993</v>
      </c>
      <c r="M864" s="5">
        <f t="shared" si="40"/>
        <v>9.9499999999999993</v>
      </c>
      <c r="N864" t="str">
        <f t="shared" si="42"/>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INDEX(products!$A$1:$G$49,MATCH($D865,products!$A$1:$A$49,0),MATCH(I$1,products!$A$1:$G$1,0))</f>
        <v>Lib</v>
      </c>
      <c r="J865" t="str">
        <f>INDEX(products!$A$1:$G$49,MATCH($D865,products!$A$1:$A$49,0),MATCH(J$1,products!$A$1:$G$1,0))</f>
        <v>M</v>
      </c>
      <c r="K865" s="4">
        <f>INDEX(products!$A$1:$G$49,MATCH($D865,products!$A$1:$A$49,0),MATCH(K$1,products!$A$1:$G$1,0))</f>
        <v>1</v>
      </c>
      <c r="L865" s="5">
        <f>INDEX(products!$A$1:$G$49,MATCH($D865,products!$A$1:$A$49,0),MATCH(L$1,products!$A$1:$G$1,0))</f>
        <v>14.55</v>
      </c>
      <c r="M865" s="5">
        <f t="shared" si="40"/>
        <v>29.1</v>
      </c>
      <c r="N865" t="str">
        <f t="shared" si="42"/>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INDEX(products!$A$1:$G$49,MATCH($D866,products!$A$1:$A$49,0),MATCH(I$1,products!$A$1:$G$1,0))</f>
        <v>Rob</v>
      </c>
      <c r="J866" t="str">
        <f>INDEX(products!$A$1:$G$49,MATCH($D866,products!$A$1:$A$49,0),MATCH(J$1,products!$A$1:$G$1,0))</f>
        <v>L</v>
      </c>
      <c r="K866" s="4">
        <f>INDEX(products!$A$1:$G$49,MATCH($D866,products!$A$1:$A$49,0),MATCH(K$1,products!$A$1:$G$1,0))</f>
        <v>0.2</v>
      </c>
      <c r="L866" s="5">
        <f>INDEX(products!$A$1:$G$49,MATCH($D866,products!$A$1:$A$49,0),MATCH(L$1,products!$A$1:$G$1,0))</f>
        <v>3.5849999999999995</v>
      </c>
      <c r="M866" s="5">
        <f t="shared" si="40"/>
        <v>21.509999999999998</v>
      </c>
      <c r="N866" t="str">
        <f t="shared" si="42"/>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INDEX(products!$A$1:$G$49,MATCH($D867,products!$A$1:$A$49,0),MATCH(I$1,products!$A$1:$G$1,0))</f>
        <v>Ara</v>
      </c>
      <c r="J867" t="str">
        <f>INDEX(products!$A$1:$G$49,MATCH($D867,products!$A$1:$A$49,0),MATCH(J$1,products!$A$1:$G$1,0))</f>
        <v>M</v>
      </c>
      <c r="K867" s="4">
        <f>INDEX(products!$A$1:$G$49,MATCH($D867,products!$A$1:$A$49,0),MATCH(K$1,products!$A$1:$G$1,0))</f>
        <v>0.5</v>
      </c>
      <c r="L867" s="5">
        <f>INDEX(products!$A$1:$G$49,MATCH($D867,products!$A$1:$A$49,0),MATCH(L$1,products!$A$1:$G$1,0))</f>
        <v>6.75</v>
      </c>
      <c r="M867" s="5">
        <f t="shared" si="40"/>
        <v>6.75</v>
      </c>
      <c r="N867" t="str">
        <f t="shared" si="42"/>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INDEX(products!$A$1:$G$49,MATCH($D868,products!$A$1:$A$49,0),MATCH(I$1,products!$A$1:$G$1,0))</f>
        <v>Ara</v>
      </c>
      <c r="J868" t="str">
        <f>INDEX(products!$A$1:$G$49,MATCH($D868,products!$A$1:$A$49,0),MATCH(J$1,products!$A$1:$G$1,0))</f>
        <v>D</v>
      </c>
      <c r="K868" s="4">
        <f>INDEX(products!$A$1:$G$49,MATCH($D868,products!$A$1:$A$49,0),MATCH(K$1,products!$A$1:$G$1,0))</f>
        <v>0.5</v>
      </c>
      <c r="L868" s="5">
        <f>INDEX(products!$A$1:$G$49,MATCH($D868,products!$A$1:$A$49,0),MATCH(L$1,products!$A$1:$G$1,0))</f>
        <v>5.97</v>
      </c>
      <c r="M868" s="5">
        <f t="shared" si="40"/>
        <v>17.91</v>
      </c>
      <c r="N868" t="str">
        <f t="shared" si="42"/>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INDEX(products!$A$1:$G$49,MATCH($D869,products!$A$1:$A$49,0),MATCH(I$1,products!$A$1:$G$1,0))</f>
        <v>Ara</v>
      </c>
      <c r="J869" t="str">
        <f>INDEX(products!$A$1:$G$49,MATCH($D869,products!$A$1:$A$49,0),MATCH(J$1,products!$A$1:$G$1,0))</f>
        <v>L</v>
      </c>
      <c r="K869" s="4">
        <f>INDEX(products!$A$1:$G$49,MATCH($D869,products!$A$1:$A$49,0),MATCH(K$1,products!$A$1:$G$1,0))</f>
        <v>2.5</v>
      </c>
      <c r="L869" s="5">
        <f>INDEX(products!$A$1:$G$49,MATCH($D869,products!$A$1:$A$49,0),MATCH(L$1,products!$A$1:$G$1,0))</f>
        <v>29.784999999999997</v>
      </c>
      <c r="M869" s="5">
        <f t="shared" si="40"/>
        <v>29.784999999999997</v>
      </c>
      <c r="N869" t="str">
        <f t="shared" si="42"/>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INDEX(products!$A$1:$G$49,MATCH($D870,products!$A$1:$A$49,0),MATCH(I$1,products!$A$1:$G$1,0))</f>
        <v>Exc</v>
      </c>
      <c r="J870" t="str">
        <f>INDEX(products!$A$1:$G$49,MATCH($D870,products!$A$1:$A$49,0),MATCH(J$1,products!$A$1:$G$1,0))</f>
        <v>M</v>
      </c>
      <c r="K870" s="4">
        <f>INDEX(products!$A$1:$G$49,MATCH($D870,products!$A$1:$A$49,0),MATCH(K$1,products!$A$1:$G$1,0))</f>
        <v>0.5</v>
      </c>
      <c r="L870" s="5">
        <f>INDEX(products!$A$1:$G$49,MATCH($D870,products!$A$1:$A$49,0),MATCH(L$1,products!$A$1:$G$1,0))</f>
        <v>8.25</v>
      </c>
      <c r="M870" s="5">
        <f t="shared" si="40"/>
        <v>41.25</v>
      </c>
      <c r="N870" t="str">
        <f t="shared" si="42"/>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f>
        <v>Alexina Randals</v>
      </c>
      <c r="G871" s="2" t="str">
        <f>IF(_xlfn.XLOOKUP(C871,customers!$A$1:$A$1001,customers!$C$1:$C$1001,,0)=0,"",_xlfn.XLOOKUP(C871,customers!$A$1:$A$1001,customers!$C$1:$C$1001,,0))</f>
        <v/>
      </c>
      <c r="H871" s="2" t="str">
        <f>_xlfn.XLOOKUP(C871,customers!$A$1:$A$1001,customers!$G$1:$G$1001,,0)</f>
        <v>United States</v>
      </c>
      <c r="I871" t="str">
        <f>INDEX(products!$A$1:$G$49,MATCH($D871,products!$A$1:$A$49,0),MATCH(I$1,products!$A$1:$G$1,0))</f>
        <v>Rob</v>
      </c>
      <c r="J871" t="str">
        <f>INDEX(products!$A$1:$G$49,MATCH($D871,products!$A$1:$A$49,0),MATCH(J$1,products!$A$1:$G$1,0))</f>
        <v>M</v>
      </c>
      <c r="K871" s="4">
        <f>INDEX(products!$A$1:$G$49,MATCH($D871,products!$A$1:$A$49,0),MATCH(K$1,products!$A$1:$G$1,0))</f>
        <v>0.5</v>
      </c>
      <c r="L871" s="5">
        <f>INDEX(products!$A$1:$G$49,MATCH($D871,products!$A$1:$A$49,0),MATCH(L$1,products!$A$1:$G$1,0))</f>
        <v>5.97</v>
      </c>
      <c r="M871" s="5">
        <f t="shared" si="40"/>
        <v>17.91</v>
      </c>
      <c r="N871" t="str">
        <f t="shared" si="42"/>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INDEX(products!$A$1:$G$49,MATCH($D872,products!$A$1:$A$49,0),MATCH(I$1,products!$A$1:$G$1,0))</f>
        <v>Exc</v>
      </c>
      <c r="J872" t="str">
        <f>INDEX(products!$A$1:$G$49,MATCH($D872,products!$A$1:$A$49,0),MATCH(J$1,products!$A$1:$G$1,0))</f>
        <v>D</v>
      </c>
      <c r="K872" s="4">
        <f>INDEX(products!$A$1:$G$49,MATCH($D872,products!$A$1:$A$49,0),MATCH(K$1,products!$A$1:$G$1,0))</f>
        <v>0.5</v>
      </c>
      <c r="L872" s="5">
        <f>INDEX(products!$A$1:$G$49,MATCH($D872,products!$A$1:$A$49,0),MATCH(L$1,products!$A$1:$G$1,0))</f>
        <v>7.29</v>
      </c>
      <c r="M872" s="5">
        <f t="shared" si="40"/>
        <v>7.29</v>
      </c>
      <c r="N872" t="str">
        <f t="shared" si="42"/>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INDEX(products!$A$1:$G$49,MATCH($D873,products!$A$1:$A$49,0),MATCH(I$1,products!$A$1:$G$1,0))</f>
        <v>Exc</v>
      </c>
      <c r="J873" t="str">
        <f>INDEX(products!$A$1:$G$49,MATCH($D873,products!$A$1:$A$49,0),MATCH(J$1,products!$A$1:$G$1,0))</f>
        <v>L</v>
      </c>
      <c r="K873" s="4">
        <f>INDEX(products!$A$1:$G$49,MATCH($D873,products!$A$1:$A$49,0),MATCH(K$1,products!$A$1:$G$1,0))</f>
        <v>1</v>
      </c>
      <c r="L873" s="5">
        <f>INDEX(products!$A$1:$G$49,MATCH($D873,products!$A$1:$A$49,0),MATCH(L$1,products!$A$1:$G$1,0))</f>
        <v>14.85</v>
      </c>
      <c r="M873" s="5">
        <f t="shared" si="40"/>
        <v>29.7</v>
      </c>
      <c r="N873" t="str">
        <f t="shared" si="42"/>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INDEX(products!$A$1:$G$49,MATCH($D874,products!$A$1:$A$49,0),MATCH(I$1,products!$A$1:$G$1,0))</f>
        <v>Ara</v>
      </c>
      <c r="J874" t="str">
        <f>INDEX(products!$A$1:$G$49,MATCH($D874,products!$A$1:$A$49,0),MATCH(J$1,products!$A$1:$G$1,0))</f>
        <v>M</v>
      </c>
      <c r="K874" s="4">
        <f>INDEX(products!$A$1:$G$49,MATCH($D874,products!$A$1:$A$49,0),MATCH(K$1,products!$A$1:$G$1,0))</f>
        <v>1</v>
      </c>
      <c r="L874" s="5">
        <f>INDEX(products!$A$1:$G$49,MATCH($D874,products!$A$1:$A$49,0),MATCH(L$1,products!$A$1:$G$1,0))</f>
        <v>11.25</v>
      </c>
      <c r="M874" s="5">
        <f t="shared" si="40"/>
        <v>22.5</v>
      </c>
      <c r="N874" t="str">
        <f t="shared" si="42"/>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INDEX(products!$A$1:$G$49,MATCH($D875,products!$A$1:$A$49,0),MATCH(I$1,products!$A$1:$G$1,0))</f>
        <v>Rob</v>
      </c>
      <c r="J875" t="str">
        <f>INDEX(products!$A$1:$G$49,MATCH($D875,products!$A$1:$A$49,0),MATCH(J$1,products!$A$1:$G$1,0))</f>
        <v>M</v>
      </c>
      <c r="K875" s="4">
        <f>INDEX(products!$A$1:$G$49,MATCH($D875,products!$A$1:$A$49,0),MATCH(K$1,products!$A$1:$G$1,0))</f>
        <v>0.2</v>
      </c>
      <c r="L875" s="5">
        <f>INDEX(products!$A$1:$G$49,MATCH($D875,products!$A$1:$A$49,0),MATCH(L$1,products!$A$1:$G$1,0))</f>
        <v>2.9849999999999999</v>
      </c>
      <c r="M875" s="5">
        <f t="shared" si="40"/>
        <v>11.94</v>
      </c>
      <c r="N875" t="str">
        <f t="shared" si="42"/>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INDEX(products!$A$1:$G$49,MATCH($D876,products!$A$1:$A$49,0),MATCH(I$1,products!$A$1:$G$1,0))</f>
        <v>Ara</v>
      </c>
      <c r="J876" t="str">
        <f>INDEX(products!$A$1:$G$49,MATCH($D876,products!$A$1:$A$49,0),MATCH(J$1,products!$A$1:$G$1,0))</f>
        <v>L</v>
      </c>
      <c r="K876" s="4">
        <f>INDEX(products!$A$1:$G$49,MATCH($D876,products!$A$1:$A$49,0),MATCH(K$1,products!$A$1:$G$1,0))</f>
        <v>1</v>
      </c>
      <c r="L876" s="5">
        <f>INDEX(products!$A$1:$G$49,MATCH($D876,products!$A$1:$A$49,0),MATCH(L$1,products!$A$1:$G$1,0))</f>
        <v>12.95</v>
      </c>
      <c r="M876" s="5">
        <f t="shared" si="40"/>
        <v>25.9</v>
      </c>
      <c r="N876" t="str">
        <f t="shared" si="42"/>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f>
        <v>Orazio Comber</v>
      </c>
      <c r="G877" s="2" t="str">
        <f>IF(_xlfn.XLOOKUP(C877,customers!$A$1:$A$1001,customers!$C$1:$C$1001,,0)=0,"",_xlfn.XLOOKUP(C877,customers!$A$1:$A$1001,customers!$C$1:$C$1001,,0))</f>
        <v>ocomberob@goo.gl</v>
      </c>
      <c r="H877" s="2" t="str">
        <f>_xlfn.XLOOKUP(C877,customers!$A$1:$A$1001,customers!$G$1:$G$1001,,0)</f>
        <v>Ireland</v>
      </c>
      <c r="I877" t="str">
        <f>INDEX(products!$A$1:$G$49,MATCH($D877,products!$A$1:$A$49,0),MATCH(I$1,products!$A$1:$G$1,0))</f>
        <v>Lib</v>
      </c>
      <c r="J877" t="str">
        <f>INDEX(products!$A$1:$G$49,MATCH($D877,products!$A$1:$A$49,0),MATCH(J$1,products!$A$1:$G$1,0))</f>
        <v>M</v>
      </c>
      <c r="K877" s="4">
        <f>INDEX(products!$A$1:$G$49,MATCH($D877,products!$A$1:$A$49,0),MATCH(K$1,products!$A$1:$G$1,0))</f>
        <v>0.5</v>
      </c>
      <c r="L877" s="5">
        <f>INDEX(products!$A$1:$G$49,MATCH($D877,products!$A$1:$A$49,0),MATCH(L$1,products!$A$1:$G$1,0))</f>
        <v>8.73</v>
      </c>
      <c r="M877" s="5">
        <f t="shared" si="40"/>
        <v>43.650000000000006</v>
      </c>
      <c r="N877" t="str">
        <f t="shared" si="42"/>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f>
        <v>Orazio Comber</v>
      </c>
      <c r="G878" s="2" t="str">
        <f>IF(_xlfn.XLOOKUP(C878,customers!$A$1:$A$1001,customers!$C$1:$C$1001,,0)=0,"",_xlfn.XLOOKUP(C878,customers!$A$1:$A$1001,customers!$C$1:$C$1001,,0))</f>
        <v>ocomberob@goo.gl</v>
      </c>
      <c r="H878" s="2" t="str">
        <f>_xlfn.XLOOKUP(C878,customers!$A$1:$A$1001,customers!$G$1:$G$1001,,0)</f>
        <v>Ireland</v>
      </c>
      <c r="I878" t="str">
        <f>INDEX(products!$A$1:$G$49,MATCH($D878,products!$A$1:$A$49,0),MATCH(I$1,products!$A$1:$G$1,0))</f>
        <v>Ara</v>
      </c>
      <c r="J878" t="str">
        <f>INDEX(products!$A$1:$G$49,MATCH($D878,products!$A$1:$A$49,0),MATCH(J$1,products!$A$1:$G$1,0))</f>
        <v>L</v>
      </c>
      <c r="K878" s="4">
        <f>INDEX(products!$A$1:$G$49,MATCH($D878,products!$A$1:$A$49,0),MATCH(K$1,products!$A$1:$G$1,0))</f>
        <v>0.5</v>
      </c>
      <c r="L878" s="5">
        <f>INDEX(products!$A$1:$G$49,MATCH($D878,products!$A$1:$A$49,0),MATCH(L$1,products!$A$1:$G$1,0))</f>
        <v>7.77</v>
      </c>
      <c r="M878" s="5">
        <f t="shared" si="40"/>
        <v>46.62</v>
      </c>
      <c r="N878" t="str">
        <f t="shared" si="42"/>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INDEX(products!$A$1:$G$49,MATCH($D879,products!$A$1:$A$49,0),MATCH(I$1,products!$A$1:$G$1,0))</f>
        <v>Lib</v>
      </c>
      <c r="J879" t="str">
        <f>INDEX(products!$A$1:$G$49,MATCH($D879,products!$A$1:$A$49,0),MATCH(J$1,products!$A$1:$G$1,0))</f>
        <v>L</v>
      </c>
      <c r="K879" s="4">
        <f>INDEX(products!$A$1:$G$49,MATCH($D879,products!$A$1:$A$49,0),MATCH(K$1,products!$A$1:$G$1,0))</f>
        <v>0.5</v>
      </c>
      <c r="L879" s="5">
        <f>INDEX(products!$A$1:$G$49,MATCH($D879,products!$A$1:$A$49,0),MATCH(L$1,products!$A$1:$G$1,0))</f>
        <v>9.51</v>
      </c>
      <c r="M879" s="5">
        <f t="shared" si="40"/>
        <v>28.53</v>
      </c>
      <c r="N879" t="str">
        <f t="shared" si="42"/>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f>
        <v>Izaak Primak</v>
      </c>
      <c r="G880" s="2" t="str">
        <f>IF(_xlfn.XLOOKUP(C880,customers!$A$1:$A$1001,customers!$C$1:$C$1001,,0)=0,"",_xlfn.XLOOKUP(C880,customers!$A$1:$A$1001,customers!$C$1:$C$1001,,0))</f>
        <v/>
      </c>
      <c r="H880" s="2" t="str">
        <f>_xlfn.XLOOKUP(C880,customers!$A$1:$A$1001,customers!$G$1:$G$1001,,0)</f>
        <v>United States</v>
      </c>
      <c r="I880" t="str">
        <f>INDEX(products!$A$1:$G$49,MATCH($D880,products!$A$1:$A$49,0),MATCH(I$1,products!$A$1:$G$1,0))</f>
        <v>Rob</v>
      </c>
      <c r="J880" t="str">
        <f>INDEX(products!$A$1:$G$49,MATCH($D880,products!$A$1:$A$49,0),MATCH(J$1,products!$A$1:$G$1,0))</f>
        <v>L</v>
      </c>
      <c r="K880" s="4">
        <f>INDEX(products!$A$1:$G$49,MATCH($D880,products!$A$1:$A$49,0),MATCH(K$1,products!$A$1:$G$1,0))</f>
        <v>2.5</v>
      </c>
      <c r="L880" s="5">
        <f>INDEX(products!$A$1:$G$49,MATCH($D880,products!$A$1:$A$49,0),MATCH(L$1,products!$A$1:$G$1,0))</f>
        <v>27.484999999999996</v>
      </c>
      <c r="M880" s="5">
        <f t="shared" si="40"/>
        <v>27.484999999999996</v>
      </c>
      <c r="N880" t="str">
        <f t="shared" si="42"/>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f>
        <v>Brittani Thoresbie</v>
      </c>
      <c r="G881" s="2" t="str">
        <f>IF(_xlfn.XLOOKUP(C881,customers!$A$1:$A$1001,customers!$C$1:$C$1001,,0)=0,"",_xlfn.XLOOKUP(C881,customers!$A$1:$A$1001,customers!$C$1:$C$1001,,0))</f>
        <v/>
      </c>
      <c r="H881" s="2" t="str">
        <f>_xlfn.XLOOKUP(C881,customers!$A$1:$A$1001,customers!$G$1:$G$1001,,0)</f>
        <v>United States</v>
      </c>
      <c r="I881" t="str">
        <f>INDEX(products!$A$1:$G$49,MATCH($D881,products!$A$1:$A$49,0),MATCH(I$1,products!$A$1:$G$1,0))</f>
        <v>Exc</v>
      </c>
      <c r="J881" t="str">
        <f>INDEX(products!$A$1:$G$49,MATCH($D881,products!$A$1:$A$49,0),MATCH(J$1,products!$A$1:$G$1,0))</f>
        <v>D</v>
      </c>
      <c r="K881" s="4">
        <f>INDEX(products!$A$1:$G$49,MATCH($D881,products!$A$1:$A$49,0),MATCH(K$1,products!$A$1:$G$1,0))</f>
        <v>0.2</v>
      </c>
      <c r="L881" s="5">
        <f>INDEX(products!$A$1:$G$49,MATCH($D881,products!$A$1:$A$49,0),MATCH(L$1,products!$A$1:$G$1,0))</f>
        <v>3.645</v>
      </c>
      <c r="M881" s="5">
        <f t="shared" si="40"/>
        <v>10.935</v>
      </c>
      <c r="N881" t="str">
        <f t="shared" si="42"/>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INDEX(products!$A$1:$G$49,MATCH($D882,products!$A$1:$A$49,0),MATCH(I$1,products!$A$1:$G$1,0))</f>
        <v>Rob</v>
      </c>
      <c r="J882" t="str">
        <f>INDEX(products!$A$1:$G$49,MATCH($D882,products!$A$1:$A$49,0),MATCH(J$1,products!$A$1:$G$1,0))</f>
        <v>L</v>
      </c>
      <c r="K882" s="4">
        <f>INDEX(products!$A$1:$G$49,MATCH($D882,products!$A$1:$A$49,0),MATCH(K$1,products!$A$1:$G$1,0))</f>
        <v>0.2</v>
      </c>
      <c r="L882" s="5">
        <f>INDEX(products!$A$1:$G$49,MATCH($D882,products!$A$1:$A$49,0),MATCH(L$1,products!$A$1:$G$1,0))</f>
        <v>3.5849999999999995</v>
      </c>
      <c r="M882" s="5">
        <f t="shared" si="40"/>
        <v>7.169999999999999</v>
      </c>
      <c r="N882" t="str">
        <f t="shared" si="42"/>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f>
        <v>Bobbe Castagneto</v>
      </c>
      <c r="G883" s="2" t="str">
        <f>IF(_xlfn.XLOOKUP(C883,customers!$A$1:$A$1001,customers!$C$1:$C$1001,,0)=0,"",_xlfn.XLOOKUP(C883,customers!$A$1:$A$1001,customers!$C$1:$C$1001,,0))</f>
        <v/>
      </c>
      <c r="H883" s="2" t="str">
        <f>_xlfn.XLOOKUP(C883,customers!$A$1:$A$1001,customers!$G$1:$G$1001,,0)</f>
        <v>United States</v>
      </c>
      <c r="I883" t="str">
        <f>INDEX(products!$A$1:$G$49,MATCH($D883,products!$A$1:$A$49,0),MATCH(I$1,products!$A$1:$G$1,0))</f>
        <v>Ara</v>
      </c>
      <c r="J883" t="str">
        <f>INDEX(products!$A$1:$G$49,MATCH($D883,products!$A$1:$A$49,0),MATCH(J$1,products!$A$1:$G$1,0))</f>
        <v>L</v>
      </c>
      <c r="K883" s="4">
        <f>INDEX(products!$A$1:$G$49,MATCH($D883,products!$A$1:$A$49,0),MATCH(K$1,products!$A$1:$G$1,0))</f>
        <v>0.2</v>
      </c>
      <c r="L883" s="5">
        <f>INDEX(products!$A$1:$G$49,MATCH($D883,products!$A$1:$A$49,0),MATCH(L$1,products!$A$1:$G$1,0))</f>
        <v>3.8849999999999998</v>
      </c>
      <c r="M883" s="5">
        <f t="shared" si="40"/>
        <v>23.31</v>
      </c>
      <c r="N883" t="str">
        <f t="shared" si="42"/>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INDEX(products!$A$1:$G$49,MATCH($D884,products!$A$1:$A$49,0),MATCH(I$1,products!$A$1:$G$1,0))</f>
        <v>Ara</v>
      </c>
      <c r="J884" t="str">
        <f>INDEX(products!$A$1:$G$49,MATCH($D884,products!$A$1:$A$49,0),MATCH(J$1,products!$A$1:$G$1,0))</f>
        <v>D</v>
      </c>
      <c r="K884" s="4">
        <f>INDEX(products!$A$1:$G$49,MATCH($D884,products!$A$1:$A$49,0),MATCH(K$1,products!$A$1:$G$1,0))</f>
        <v>2.5</v>
      </c>
      <c r="L884" s="5">
        <f>INDEX(products!$A$1:$G$49,MATCH($D884,products!$A$1:$A$49,0),MATCH(L$1,products!$A$1:$G$1,0))</f>
        <v>22.884999999999998</v>
      </c>
      <c r="M884" s="5">
        <f t="shared" si="40"/>
        <v>114.42499999999998</v>
      </c>
      <c r="N884" t="str">
        <f t="shared" si="42"/>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INDEX(products!$A$1:$G$49,MATCH($D885,products!$A$1:$A$49,0),MATCH(I$1,products!$A$1:$G$1,0))</f>
        <v>Ara</v>
      </c>
      <c r="J885" t="str">
        <f>INDEX(products!$A$1:$G$49,MATCH($D885,products!$A$1:$A$49,0),MATCH(J$1,products!$A$1:$G$1,0))</f>
        <v>M</v>
      </c>
      <c r="K885" s="4">
        <f>INDEX(products!$A$1:$G$49,MATCH($D885,products!$A$1:$A$49,0),MATCH(K$1,products!$A$1:$G$1,0))</f>
        <v>2.5</v>
      </c>
      <c r="L885" s="5">
        <f>INDEX(products!$A$1:$G$49,MATCH($D885,products!$A$1:$A$49,0),MATCH(L$1,products!$A$1:$G$1,0))</f>
        <v>25.874999999999996</v>
      </c>
      <c r="M885" s="5">
        <f t="shared" si="40"/>
        <v>77.624999999999986</v>
      </c>
      <c r="N885" t="str">
        <f t="shared" si="42"/>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INDEX(products!$A$1:$G$49,MATCH($D886,products!$A$1:$A$49,0),MATCH(I$1,products!$A$1:$G$1,0))</f>
        <v>Rob</v>
      </c>
      <c r="J886" t="str">
        <f>INDEX(products!$A$1:$G$49,MATCH($D886,products!$A$1:$A$49,0),MATCH(J$1,products!$A$1:$G$1,0))</f>
        <v>D</v>
      </c>
      <c r="K886" s="4">
        <f>INDEX(products!$A$1:$G$49,MATCH($D886,products!$A$1:$A$49,0),MATCH(K$1,products!$A$1:$G$1,0))</f>
        <v>0.5</v>
      </c>
      <c r="L886" s="5">
        <f>INDEX(products!$A$1:$G$49,MATCH($D886,products!$A$1:$A$49,0),MATCH(L$1,products!$A$1:$G$1,0))</f>
        <v>5.3699999999999992</v>
      </c>
      <c r="M886" s="5">
        <f t="shared" si="40"/>
        <v>5.3699999999999992</v>
      </c>
      <c r="N886" t="str">
        <f t="shared" si="42"/>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INDEX(products!$A$1:$G$49,MATCH($D887,products!$A$1:$A$49,0),MATCH(I$1,products!$A$1:$G$1,0))</f>
        <v>Rob</v>
      </c>
      <c r="J887" t="str">
        <f>INDEX(products!$A$1:$G$49,MATCH($D887,products!$A$1:$A$49,0),MATCH(J$1,products!$A$1:$G$1,0))</f>
        <v>D</v>
      </c>
      <c r="K887" s="4">
        <f>INDEX(products!$A$1:$G$49,MATCH($D887,products!$A$1:$A$49,0),MATCH(K$1,products!$A$1:$G$1,0))</f>
        <v>2.5</v>
      </c>
      <c r="L887" s="5">
        <f>INDEX(products!$A$1:$G$49,MATCH($D887,products!$A$1:$A$49,0),MATCH(L$1,products!$A$1:$G$1,0))</f>
        <v>20.584999999999997</v>
      </c>
      <c r="M887" s="5">
        <f t="shared" si="40"/>
        <v>123.50999999999999</v>
      </c>
      <c r="N887" t="str">
        <f t="shared" si="42"/>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INDEX(products!$A$1:$G$49,MATCH($D888,products!$A$1:$A$49,0),MATCH(I$1,products!$A$1:$G$1,0))</f>
        <v>Lib</v>
      </c>
      <c r="J888" t="str">
        <f>INDEX(products!$A$1:$G$49,MATCH($D888,products!$A$1:$A$49,0),MATCH(J$1,products!$A$1:$G$1,0))</f>
        <v>M</v>
      </c>
      <c r="K888" s="4">
        <f>INDEX(products!$A$1:$G$49,MATCH($D888,products!$A$1:$A$49,0),MATCH(K$1,products!$A$1:$G$1,0))</f>
        <v>0.5</v>
      </c>
      <c r="L888" s="5">
        <f>INDEX(products!$A$1:$G$49,MATCH($D888,products!$A$1:$A$49,0),MATCH(L$1,products!$A$1:$G$1,0))</f>
        <v>8.73</v>
      </c>
      <c r="M888" s="5">
        <f t="shared" si="40"/>
        <v>17.46</v>
      </c>
      <c r="N888" t="str">
        <f t="shared" si="42"/>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INDEX(products!$A$1:$G$49,MATCH($D889,products!$A$1:$A$49,0),MATCH(I$1,products!$A$1:$G$1,0))</f>
        <v>Exc</v>
      </c>
      <c r="J889" t="str">
        <f>INDEX(products!$A$1:$G$49,MATCH($D889,products!$A$1:$A$49,0),MATCH(J$1,products!$A$1:$G$1,0))</f>
        <v>L</v>
      </c>
      <c r="K889" s="4">
        <f>INDEX(products!$A$1:$G$49,MATCH($D889,products!$A$1:$A$49,0),MATCH(K$1,products!$A$1:$G$1,0))</f>
        <v>0.2</v>
      </c>
      <c r="L889" s="5">
        <f>INDEX(products!$A$1:$G$49,MATCH($D889,products!$A$1:$A$49,0),MATCH(L$1,products!$A$1:$G$1,0))</f>
        <v>4.4550000000000001</v>
      </c>
      <c r="M889" s="5">
        <f t="shared" si="40"/>
        <v>13.365</v>
      </c>
      <c r="N889" t="str">
        <f t="shared" si="42"/>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INDEX(products!$A$1:$G$49,MATCH($D890,products!$A$1:$A$49,0),MATCH(I$1,products!$A$1:$G$1,0))</f>
        <v>Ara</v>
      </c>
      <c r="J890" t="str">
        <f>INDEX(products!$A$1:$G$49,MATCH($D890,products!$A$1:$A$49,0),MATCH(J$1,products!$A$1:$G$1,0))</f>
        <v>L</v>
      </c>
      <c r="K890" s="4">
        <f>INDEX(products!$A$1:$G$49,MATCH($D890,products!$A$1:$A$49,0),MATCH(K$1,products!$A$1:$G$1,0))</f>
        <v>0.2</v>
      </c>
      <c r="L890" s="5">
        <f>INDEX(products!$A$1:$G$49,MATCH($D890,products!$A$1:$A$49,0),MATCH(L$1,products!$A$1:$G$1,0))</f>
        <v>3.8849999999999998</v>
      </c>
      <c r="M890" s="5">
        <f t="shared" si="40"/>
        <v>7.77</v>
      </c>
      <c r="N890" t="str">
        <f t="shared" si="42"/>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INDEX(products!$A$1:$G$49,MATCH($D891,products!$A$1:$A$49,0),MATCH(I$1,products!$A$1:$G$1,0))</f>
        <v>Rob</v>
      </c>
      <c r="J891" t="str">
        <f>INDEX(products!$A$1:$G$49,MATCH($D891,products!$A$1:$A$49,0),MATCH(J$1,products!$A$1:$G$1,0))</f>
        <v>D</v>
      </c>
      <c r="K891" s="4">
        <f>INDEX(products!$A$1:$G$49,MATCH($D891,products!$A$1:$A$49,0),MATCH(K$1,products!$A$1:$G$1,0))</f>
        <v>0.2</v>
      </c>
      <c r="L891" s="5">
        <f>INDEX(products!$A$1:$G$49,MATCH($D891,products!$A$1:$A$49,0),MATCH(L$1,products!$A$1:$G$1,0))</f>
        <v>2.6849999999999996</v>
      </c>
      <c r="M891" s="5">
        <f t="shared" si="40"/>
        <v>2.6849999999999996</v>
      </c>
      <c r="N891" t="str">
        <f t="shared" si="42"/>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INDEX(products!$A$1:$G$49,MATCH($D892,products!$A$1:$A$49,0),MATCH(I$1,products!$A$1:$G$1,0))</f>
        <v>Rob</v>
      </c>
      <c r="J892" t="str">
        <f>INDEX(products!$A$1:$G$49,MATCH($D892,products!$A$1:$A$49,0),MATCH(J$1,products!$A$1:$G$1,0))</f>
        <v>D</v>
      </c>
      <c r="K892" s="4">
        <f>INDEX(products!$A$1:$G$49,MATCH($D892,products!$A$1:$A$49,0),MATCH(K$1,products!$A$1:$G$1,0))</f>
        <v>2.5</v>
      </c>
      <c r="L892" s="5">
        <f>INDEX(products!$A$1:$G$49,MATCH($D892,products!$A$1:$A$49,0),MATCH(L$1,products!$A$1:$G$1,0))</f>
        <v>20.584999999999997</v>
      </c>
      <c r="M892" s="5">
        <f t="shared" si="40"/>
        <v>20.584999999999997</v>
      </c>
      <c r="N892" t="str">
        <f t="shared" si="42"/>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INDEX(products!$A$1:$G$49,MATCH($D893,products!$A$1:$A$49,0),MATCH(I$1,products!$A$1:$G$1,0))</f>
        <v>Ara</v>
      </c>
      <c r="J893" t="str">
        <f>INDEX(products!$A$1:$G$49,MATCH($D893,products!$A$1:$A$49,0),MATCH(J$1,products!$A$1:$G$1,0))</f>
        <v>D</v>
      </c>
      <c r="K893" s="4">
        <f>INDEX(products!$A$1:$G$49,MATCH($D893,products!$A$1:$A$49,0),MATCH(K$1,products!$A$1:$G$1,0))</f>
        <v>2.5</v>
      </c>
      <c r="L893" s="5">
        <f>INDEX(products!$A$1:$G$49,MATCH($D893,products!$A$1:$A$49,0),MATCH(L$1,products!$A$1:$G$1,0))</f>
        <v>22.884999999999998</v>
      </c>
      <c r="M893" s="5">
        <f t="shared" si="40"/>
        <v>114.42499999999998</v>
      </c>
      <c r="N893" t="str">
        <f t="shared" si="42"/>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INDEX(products!$A$1:$G$49,MATCH($D894,products!$A$1:$A$49,0),MATCH(I$1,products!$A$1:$G$1,0))</f>
        <v>Exc</v>
      </c>
      <c r="J894" t="str">
        <f>INDEX(products!$A$1:$G$49,MATCH($D894,products!$A$1:$A$49,0),MATCH(J$1,products!$A$1:$G$1,0))</f>
        <v>M</v>
      </c>
      <c r="K894" s="4">
        <f>INDEX(products!$A$1:$G$49,MATCH($D894,products!$A$1:$A$49,0),MATCH(K$1,products!$A$1:$G$1,0))</f>
        <v>0.2</v>
      </c>
      <c r="L894" s="5">
        <f>INDEX(products!$A$1:$G$49,MATCH($D894,products!$A$1:$A$49,0),MATCH(L$1,products!$A$1:$G$1,0))</f>
        <v>4.125</v>
      </c>
      <c r="M894" s="5">
        <f t="shared" si="40"/>
        <v>20.625</v>
      </c>
      <c r="N894" t="str">
        <f t="shared" si="42"/>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INDEX(products!$A$1:$G$49,MATCH($D895,products!$A$1:$A$49,0),MATCH(I$1,products!$A$1:$G$1,0))</f>
        <v>Lib</v>
      </c>
      <c r="J895" t="str">
        <f>INDEX(products!$A$1:$G$49,MATCH($D895,products!$A$1:$A$49,0),MATCH(J$1,products!$A$1:$G$1,0))</f>
        <v>L</v>
      </c>
      <c r="K895" s="4">
        <f>INDEX(products!$A$1:$G$49,MATCH($D895,products!$A$1:$A$49,0),MATCH(K$1,products!$A$1:$G$1,0))</f>
        <v>0.5</v>
      </c>
      <c r="L895" s="5">
        <f>INDEX(products!$A$1:$G$49,MATCH($D895,products!$A$1:$A$49,0),MATCH(L$1,products!$A$1:$G$1,0))</f>
        <v>9.51</v>
      </c>
      <c r="M895" s="5">
        <f t="shared" si="40"/>
        <v>57.06</v>
      </c>
      <c r="N895" t="str">
        <f t="shared" si="42"/>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f>
        <v>Sharity Wickens</v>
      </c>
      <c r="G896" s="2" t="str">
        <f>IF(_xlfn.XLOOKUP(C896,customers!$A$1:$A$1001,customers!$C$1:$C$1001,,0)=0,"",_xlfn.XLOOKUP(C896,customers!$A$1:$A$1001,customers!$C$1:$C$1001,,0))</f>
        <v/>
      </c>
      <c r="H896" s="2" t="str">
        <f>_xlfn.XLOOKUP(C896,customers!$A$1:$A$1001,customers!$G$1:$G$1001,,0)</f>
        <v>Ireland</v>
      </c>
      <c r="I896" t="str">
        <f>INDEX(products!$A$1:$G$49,MATCH($D896,products!$A$1:$A$49,0),MATCH(I$1,products!$A$1:$G$1,0))</f>
        <v>Rob</v>
      </c>
      <c r="J896" t="str">
        <f>INDEX(products!$A$1:$G$49,MATCH($D896,products!$A$1:$A$49,0),MATCH(J$1,products!$A$1:$G$1,0))</f>
        <v>D</v>
      </c>
      <c r="K896" s="4">
        <f>INDEX(products!$A$1:$G$49,MATCH($D896,products!$A$1:$A$49,0),MATCH(K$1,products!$A$1:$G$1,0))</f>
        <v>2.5</v>
      </c>
      <c r="L896" s="5">
        <f>INDEX(products!$A$1:$G$49,MATCH($D896,products!$A$1:$A$49,0),MATCH(L$1,products!$A$1:$G$1,0))</f>
        <v>20.584999999999997</v>
      </c>
      <c r="M896" s="5">
        <f t="shared" si="40"/>
        <v>82.339999999999989</v>
      </c>
      <c r="N896" t="str">
        <f t="shared" si="42"/>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f>
        <v>Derick Snow</v>
      </c>
      <c r="G897" s="2" t="str">
        <f>IF(_xlfn.XLOOKUP(C897,customers!$A$1:$A$1001,customers!$C$1:$C$1001,,0)=0,"",_xlfn.XLOOKUP(C897,customers!$A$1:$A$1001,customers!$C$1:$C$1001,,0))</f>
        <v/>
      </c>
      <c r="H897" s="2" t="str">
        <f>_xlfn.XLOOKUP(C897,customers!$A$1:$A$1001,customers!$G$1:$G$1001,,0)</f>
        <v>United States</v>
      </c>
      <c r="I897" t="str">
        <f>INDEX(products!$A$1:$G$49,MATCH($D897,products!$A$1:$A$49,0),MATCH(I$1,products!$A$1:$G$1,0))</f>
        <v>Exc</v>
      </c>
      <c r="J897" t="str">
        <f>INDEX(products!$A$1:$G$49,MATCH($D897,products!$A$1:$A$49,0),MATCH(J$1,products!$A$1:$G$1,0))</f>
        <v>M</v>
      </c>
      <c r="K897" s="4">
        <f>INDEX(products!$A$1:$G$49,MATCH($D897,products!$A$1:$A$49,0),MATCH(K$1,products!$A$1:$G$1,0))</f>
        <v>2.5</v>
      </c>
      <c r="L897" s="5">
        <f>INDEX(products!$A$1:$G$49,MATCH($D897,products!$A$1:$A$49,0),MATCH(L$1,products!$A$1:$G$1,0))</f>
        <v>31.624999999999996</v>
      </c>
      <c r="M897" s="5">
        <f t="shared" si="40"/>
        <v>158.12499999999997</v>
      </c>
      <c r="N897" t="str">
        <f t="shared" si="42"/>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INDEX(products!$A$1:$G$49,MATCH($D898,products!$A$1:$A$49,0),MATCH(I$1,products!$A$1:$G$1,0))</f>
        <v>Rob</v>
      </c>
      <c r="J898" t="str">
        <f>INDEX(products!$A$1:$G$49,MATCH($D898,products!$A$1:$A$49,0),MATCH(J$1,products!$A$1:$G$1,0))</f>
        <v>D</v>
      </c>
      <c r="K898" s="4">
        <f>INDEX(products!$A$1:$G$49,MATCH($D898,products!$A$1:$A$49,0),MATCH(K$1,products!$A$1:$G$1,0))</f>
        <v>0.5</v>
      </c>
      <c r="L898" s="5">
        <f>INDEX(products!$A$1:$G$49,MATCH($D898,products!$A$1:$A$49,0),MATCH(L$1,products!$A$1:$G$1,0))</f>
        <v>5.3699999999999992</v>
      </c>
      <c r="M898" s="5">
        <f t="shared" si="40"/>
        <v>32.22</v>
      </c>
      <c r="N898" t="str">
        <f t="shared" si="42"/>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INDEX(products!$A$1:$G$49,MATCH($D899,products!$A$1:$A$49,0),MATCH(I$1,products!$A$1:$G$1,0))</f>
        <v>Exc</v>
      </c>
      <c r="J899" t="str">
        <f>INDEX(products!$A$1:$G$49,MATCH($D899,products!$A$1:$A$49,0),MATCH(J$1,products!$A$1:$G$1,0))</f>
        <v>D</v>
      </c>
      <c r="K899" s="4">
        <f>INDEX(products!$A$1:$G$49,MATCH($D899,products!$A$1:$A$49,0),MATCH(K$1,products!$A$1:$G$1,0))</f>
        <v>1</v>
      </c>
      <c r="L899" s="5">
        <f>INDEX(products!$A$1:$G$49,MATCH($D899,products!$A$1:$A$49,0),MATCH(L$1,products!$A$1:$G$1,0))</f>
        <v>12.15</v>
      </c>
      <c r="M899" s="5">
        <f t="shared" ref="M899:M962" si="43">L899*E899</f>
        <v>24.3</v>
      </c>
      <c r="N899" t="str">
        <f t="shared" si="42"/>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f>
        <v>Daryn Cassius</v>
      </c>
      <c r="G900" s="2" t="str">
        <f>IF(_xlfn.XLOOKUP(C900,customers!$A$1:$A$1001,customers!$C$1:$C$1001,,0)=0,"",_xlfn.XLOOKUP(C900,customers!$A$1:$A$1001,customers!$C$1:$C$1001,,0))</f>
        <v/>
      </c>
      <c r="H900" s="2" t="str">
        <f>_xlfn.XLOOKUP(C900,customers!$A$1:$A$1001,customers!$G$1:$G$1001,,0)</f>
        <v>United States</v>
      </c>
      <c r="I900" t="str">
        <f>INDEX(products!$A$1:$G$49,MATCH($D900,products!$A$1:$A$49,0),MATCH(I$1,products!$A$1:$G$1,0))</f>
        <v>Rob</v>
      </c>
      <c r="J900" t="str">
        <f>INDEX(products!$A$1:$G$49,MATCH($D900,products!$A$1:$A$49,0),MATCH(J$1,products!$A$1:$G$1,0))</f>
        <v>L</v>
      </c>
      <c r="K900" s="4">
        <f>INDEX(products!$A$1:$G$49,MATCH($D900,products!$A$1:$A$49,0),MATCH(K$1,products!$A$1:$G$1,0))</f>
        <v>0.5</v>
      </c>
      <c r="L900" s="5">
        <f>INDEX(products!$A$1:$G$49,MATCH($D900,products!$A$1:$A$49,0),MATCH(L$1,products!$A$1:$G$1,0))</f>
        <v>7.169999999999999</v>
      </c>
      <c r="M900" s="5">
        <f t="shared" si="43"/>
        <v>35.849999999999994</v>
      </c>
      <c r="N900" t="str">
        <f t="shared" si="42"/>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f>
        <v>Derick Snow</v>
      </c>
      <c r="G901" s="2" t="str">
        <f>IF(_xlfn.XLOOKUP(C901,customers!$A$1:$A$1001,customers!$C$1:$C$1001,,0)=0,"",_xlfn.XLOOKUP(C901,customers!$A$1:$A$1001,customers!$C$1:$C$1001,,0))</f>
        <v/>
      </c>
      <c r="H901" s="2" t="str">
        <f>_xlfn.XLOOKUP(C901,customers!$A$1:$A$1001,customers!$G$1:$G$1001,,0)</f>
        <v>United States</v>
      </c>
      <c r="I901" t="str">
        <f>INDEX(products!$A$1:$G$49,MATCH($D901,products!$A$1:$A$49,0),MATCH(I$1,products!$A$1:$G$1,0))</f>
        <v>Lib</v>
      </c>
      <c r="J901" t="str">
        <f>INDEX(products!$A$1:$G$49,MATCH($D901,products!$A$1:$A$49,0),MATCH(J$1,products!$A$1:$G$1,0))</f>
        <v>M</v>
      </c>
      <c r="K901" s="4">
        <f>INDEX(products!$A$1:$G$49,MATCH($D901,products!$A$1:$A$49,0),MATCH(K$1,products!$A$1:$G$1,0))</f>
        <v>1</v>
      </c>
      <c r="L901" s="5">
        <f>INDEX(products!$A$1:$G$49,MATCH($D901,products!$A$1:$A$49,0),MATCH(L$1,products!$A$1:$G$1,0))</f>
        <v>14.55</v>
      </c>
      <c r="M901" s="5">
        <f t="shared" si="43"/>
        <v>72.75</v>
      </c>
      <c r="N901" t="str">
        <f t="shared" si="42"/>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f>
        <v>Skelly Dolohunty</v>
      </c>
      <c r="G902" s="2" t="str">
        <f>IF(_xlfn.XLOOKUP(C902,customers!$A$1:$A$1001,customers!$C$1:$C$1001,,0)=0,"",_xlfn.XLOOKUP(C902,customers!$A$1:$A$1001,customers!$C$1:$C$1001,,0))</f>
        <v/>
      </c>
      <c r="H902" s="2" t="str">
        <f>_xlfn.XLOOKUP(C902,customers!$A$1:$A$1001,customers!$G$1:$G$1001,,0)</f>
        <v>Ireland</v>
      </c>
      <c r="I902" t="str">
        <f>INDEX(products!$A$1:$G$49,MATCH($D902,products!$A$1:$A$49,0),MATCH(I$1,products!$A$1:$G$1,0))</f>
        <v>Lib</v>
      </c>
      <c r="J902" t="str">
        <f>INDEX(products!$A$1:$G$49,MATCH($D902,products!$A$1:$A$49,0),MATCH(J$1,products!$A$1:$G$1,0))</f>
        <v>L</v>
      </c>
      <c r="K902" s="4">
        <f>INDEX(products!$A$1:$G$49,MATCH($D902,products!$A$1:$A$49,0),MATCH(K$1,products!$A$1:$G$1,0))</f>
        <v>1</v>
      </c>
      <c r="L902" s="5">
        <f>INDEX(products!$A$1:$G$49,MATCH($D902,products!$A$1:$A$49,0),MATCH(L$1,products!$A$1:$G$1,0))</f>
        <v>15.85</v>
      </c>
      <c r="M902" s="5">
        <f t="shared" si="43"/>
        <v>47.55</v>
      </c>
      <c r="N902" t="str">
        <f t="shared" si="42"/>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INDEX(products!$A$1:$G$49,MATCH($D903,products!$A$1:$A$49,0),MATCH(I$1,products!$A$1:$G$1,0))</f>
        <v>Rob</v>
      </c>
      <c r="J903" t="str">
        <f>INDEX(products!$A$1:$G$49,MATCH($D903,products!$A$1:$A$49,0),MATCH(J$1,products!$A$1:$G$1,0))</f>
        <v>L</v>
      </c>
      <c r="K903" s="4">
        <f>INDEX(products!$A$1:$G$49,MATCH($D903,products!$A$1:$A$49,0),MATCH(K$1,products!$A$1:$G$1,0))</f>
        <v>0.2</v>
      </c>
      <c r="L903" s="5">
        <f>INDEX(products!$A$1:$G$49,MATCH($D903,products!$A$1:$A$49,0),MATCH(L$1,products!$A$1:$G$1,0))</f>
        <v>3.5849999999999995</v>
      </c>
      <c r="M903" s="5">
        <f t="shared" si="43"/>
        <v>3.5849999999999995</v>
      </c>
      <c r="N903" t="str">
        <f t="shared" ref="N903:N966" si="45">IF(I903="Rob","Robusta",IF(I903="Ara","Arabica",IF(I903="Exc","Excelsa",IF(I903="Lib","Liberica",""))))</f>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INDEX(products!$A$1:$G$49,MATCH($D904,products!$A$1:$A$49,0),MATCH(I$1,products!$A$1:$G$1,0))</f>
        <v>Exc</v>
      </c>
      <c r="J904" t="str">
        <f>INDEX(products!$A$1:$G$49,MATCH($D904,products!$A$1:$A$49,0),MATCH(J$1,products!$A$1:$G$1,0))</f>
        <v>M</v>
      </c>
      <c r="K904" s="4">
        <f>INDEX(products!$A$1:$G$49,MATCH($D904,products!$A$1:$A$49,0),MATCH(K$1,products!$A$1:$G$1,0))</f>
        <v>2.5</v>
      </c>
      <c r="L904" s="5">
        <f>INDEX(products!$A$1:$G$49,MATCH($D904,products!$A$1:$A$49,0),MATCH(L$1,products!$A$1:$G$1,0))</f>
        <v>31.624999999999996</v>
      </c>
      <c r="M904" s="5">
        <f t="shared" si="43"/>
        <v>158.12499999999997</v>
      </c>
      <c r="N904" t="str">
        <f t="shared" si="45"/>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INDEX(products!$A$1:$G$49,MATCH($D905,products!$A$1:$A$49,0),MATCH(I$1,products!$A$1:$G$1,0))</f>
        <v>Lib</v>
      </c>
      <c r="J905" t="str">
        <f>INDEX(products!$A$1:$G$49,MATCH($D905,products!$A$1:$A$49,0),MATCH(J$1,products!$A$1:$G$1,0))</f>
        <v>M</v>
      </c>
      <c r="K905" s="4">
        <f>INDEX(products!$A$1:$G$49,MATCH($D905,products!$A$1:$A$49,0),MATCH(K$1,products!$A$1:$G$1,0))</f>
        <v>0.5</v>
      </c>
      <c r="L905" s="5">
        <f>INDEX(products!$A$1:$G$49,MATCH($D905,products!$A$1:$A$49,0),MATCH(L$1,products!$A$1:$G$1,0))</f>
        <v>8.73</v>
      </c>
      <c r="M905" s="5">
        <f t="shared" si="43"/>
        <v>17.46</v>
      </c>
      <c r="N905" t="str">
        <f t="shared" si="45"/>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INDEX(products!$A$1:$G$49,MATCH($D906,products!$A$1:$A$49,0),MATCH(I$1,products!$A$1:$G$1,0))</f>
        <v>Ara</v>
      </c>
      <c r="J906" t="str">
        <f>INDEX(products!$A$1:$G$49,MATCH($D906,products!$A$1:$A$49,0),MATCH(J$1,products!$A$1:$G$1,0))</f>
        <v>L</v>
      </c>
      <c r="K906" s="4">
        <f>INDEX(products!$A$1:$G$49,MATCH($D906,products!$A$1:$A$49,0),MATCH(K$1,products!$A$1:$G$1,0))</f>
        <v>2.5</v>
      </c>
      <c r="L906" s="5">
        <f>INDEX(products!$A$1:$G$49,MATCH($D906,products!$A$1:$A$49,0),MATCH(L$1,products!$A$1:$G$1,0))</f>
        <v>29.784999999999997</v>
      </c>
      <c r="M906" s="5">
        <f t="shared" si="43"/>
        <v>148.92499999999998</v>
      </c>
      <c r="N906" t="str">
        <f t="shared" si="45"/>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f>
        <v>Darcy Lochran</v>
      </c>
      <c r="G907" s="2" t="str">
        <f>IF(_xlfn.XLOOKUP(C907,customers!$A$1:$A$1001,customers!$C$1:$C$1001,,0)=0,"",_xlfn.XLOOKUP(C907,customers!$A$1:$A$1001,customers!$C$1:$C$1001,,0))</f>
        <v/>
      </c>
      <c r="H907" s="2" t="str">
        <f>_xlfn.XLOOKUP(C907,customers!$A$1:$A$1001,customers!$G$1:$G$1001,,0)</f>
        <v>United States</v>
      </c>
      <c r="I907" t="str">
        <f>INDEX(products!$A$1:$G$49,MATCH($D907,products!$A$1:$A$49,0),MATCH(I$1,products!$A$1:$G$1,0))</f>
        <v>Ara</v>
      </c>
      <c r="J907" t="str">
        <f>INDEX(products!$A$1:$G$49,MATCH($D907,products!$A$1:$A$49,0),MATCH(J$1,products!$A$1:$G$1,0))</f>
        <v>M</v>
      </c>
      <c r="K907" s="4">
        <f>INDEX(products!$A$1:$G$49,MATCH($D907,products!$A$1:$A$49,0),MATCH(K$1,products!$A$1:$G$1,0))</f>
        <v>0.5</v>
      </c>
      <c r="L907" s="5">
        <f>INDEX(products!$A$1:$G$49,MATCH($D907,products!$A$1:$A$49,0),MATCH(L$1,products!$A$1:$G$1,0))</f>
        <v>6.75</v>
      </c>
      <c r="M907" s="5">
        <f t="shared" si="43"/>
        <v>40.5</v>
      </c>
      <c r="N907" t="str">
        <f t="shared" si="45"/>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INDEX(products!$A$1:$G$49,MATCH($D908,products!$A$1:$A$49,0),MATCH(I$1,products!$A$1:$G$1,0))</f>
        <v>Ara</v>
      </c>
      <c r="J908" t="str">
        <f>INDEX(products!$A$1:$G$49,MATCH($D908,products!$A$1:$A$49,0),MATCH(J$1,products!$A$1:$G$1,0))</f>
        <v>M</v>
      </c>
      <c r="K908" s="4">
        <f>INDEX(products!$A$1:$G$49,MATCH($D908,products!$A$1:$A$49,0),MATCH(K$1,products!$A$1:$G$1,0))</f>
        <v>0.5</v>
      </c>
      <c r="L908" s="5">
        <f>INDEX(products!$A$1:$G$49,MATCH($D908,products!$A$1:$A$49,0),MATCH(L$1,products!$A$1:$G$1,0))</f>
        <v>6.75</v>
      </c>
      <c r="M908" s="5">
        <f t="shared" si="43"/>
        <v>27</v>
      </c>
      <c r="N908" t="str">
        <f t="shared" si="45"/>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INDEX(products!$A$1:$G$49,MATCH($D909,products!$A$1:$A$49,0),MATCH(I$1,products!$A$1:$G$1,0))</f>
        <v>Lib</v>
      </c>
      <c r="J909" t="str">
        <f>INDEX(products!$A$1:$G$49,MATCH($D909,products!$A$1:$A$49,0),MATCH(J$1,products!$A$1:$G$1,0))</f>
        <v>D</v>
      </c>
      <c r="K909" s="4">
        <f>INDEX(products!$A$1:$G$49,MATCH($D909,products!$A$1:$A$49,0),MATCH(K$1,products!$A$1:$G$1,0))</f>
        <v>1</v>
      </c>
      <c r="L909" s="5">
        <f>INDEX(products!$A$1:$G$49,MATCH($D909,products!$A$1:$A$49,0),MATCH(L$1,products!$A$1:$G$1,0))</f>
        <v>12.95</v>
      </c>
      <c r="M909" s="5">
        <f t="shared" si="43"/>
        <v>38.849999999999994</v>
      </c>
      <c r="N909" t="str">
        <f t="shared" si="45"/>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INDEX(products!$A$1:$G$49,MATCH($D910,products!$A$1:$A$49,0),MATCH(I$1,products!$A$1:$G$1,0))</f>
        <v>Rob</v>
      </c>
      <c r="J910" t="str">
        <f>INDEX(products!$A$1:$G$49,MATCH($D910,products!$A$1:$A$49,0),MATCH(J$1,products!$A$1:$G$1,0))</f>
        <v>L</v>
      </c>
      <c r="K910" s="4">
        <f>INDEX(products!$A$1:$G$49,MATCH($D910,products!$A$1:$A$49,0),MATCH(K$1,products!$A$1:$G$1,0))</f>
        <v>1</v>
      </c>
      <c r="L910" s="5">
        <f>INDEX(products!$A$1:$G$49,MATCH($D910,products!$A$1:$A$49,0),MATCH(L$1,products!$A$1:$G$1,0))</f>
        <v>11.95</v>
      </c>
      <c r="M910" s="5">
        <f t="shared" si="43"/>
        <v>59.75</v>
      </c>
      <c r="N910" t="str">
        <f t="shared" si="45"/>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f>
        <v>Bobbe Renner</v>
      </c>
      <c r="G911" s="2" t="str">
        <f>IF(_xlfn.XLOOKUP(C911,customers!$A$1:$A$1001,customers!$C$1:$C$1001,,0)=0,"",_xlfn.XLOOKUP(C911,customers!$A$1:$A$1001,customers!$C$1:$C$1001,,0))</f>
        <v/>
      </c>
      <c r="H911" s="2" t="str">
        <f>_xlfn.XLOOKUP(C911,customers!$A$1:$A$1001,customers!$G$1:$G$1001,,0)</f>
        <v>United States</v>
      </c>
      <c r="I911" t="str">
        <f>INDEX(products!$A$1:$G$49,MATCH($D911,products!$A$1:$A$49,0),MATCH(I$1,products!$A$1:$G$1,0))</f>
        <v>Rob</v>
      </c>
      <c r="J911" t="str">
        <f>INDEX(products!$A$1:$G$49,MATCH($D911,products!$A$1:$A$49,0),MATCH(J$1,products!$A$1:$G$1,0))</f>
        <v>L</v>
      </c>
      <c r="K911" s="4">
        <f>INDEX(products!$A$1:$G$49,MATCH($D911,products!$A$1:$A$49,0),MATCH(K$1,products!$A$1:$G$1,0))</f>
        <v>0.2</v>
      </c>
      <c r="L911" s="5">
        <f>INDEX(products!$A$1:$G$49,MATCH($D911,products!$A$1:$A$49,0),MATCH(L$1,products!$A$1:$G$1,0))</f>
        <v>3.5849999999999995</v>
      </c>
      <c r="M911" s="5">
        <f t="shared" si="43"/>
        <v>10.754999999999999</v>
      </c>
      <c r="N911" t="str">
        <f t="shared" si="45"/>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INDEX(products!$A$1:$G$49,MATCH($D912,products!$A$1:$A$49,0),MATCH(I$1,products!$A$1:$G$1,0))</f>
        <v>Ara</v>
      </c>
      <c r="J912" t="str">
        <f>INDEX(products!$A$1:$G$49,MATCH($D912,products!$A$1:$A$49,0),MATCH(J$1,products!$A$1:$G$1,0))</f>
        <v>D</v>
      </c>
      <c r="K912" s="4">
        <f>INDEX(products!$A$1:$G$49,MATCH($D912,products!$A$1:$A$49,0),MATCH(K$1,products!$A$1:$G$1,0))</f>
        <v>2.5</v>
      </c>
      <c r="L912" s="5">
        <f>INDEX(products!$A$1:$G$49,MATCH($D912,products!$A$1:$A$49,0),MATCH(L$1,products!$A$1:$G$1,0))</f>
        <v>22.884999999999998</v>
      </c>
      <c r="M912" s="5">
        <f t="shared" si="43"/>
        <v>91.539999999999992</v>
      </c>
      <c r="N912" t="str">
        <f t="shared" si="45"/>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INDEX(products!$A$1:$G$49,MATCH($D913,products!$A$1:$A$49,0),MATCH(I$1,products!$A$1:$G$1,0))</f>
        <v>Ara</v>
      </c>
      <c r="J913" t="str">
        <f>INDEX(products!$A$1:$G$49,MATCH($D913,products!$A$1:$A$49,0),MATCH(J$1,products!$A$1:$G$1,0))</f>
        <v>M</v>
      </c>
      <c r="K913" s="4">
        <f>INDEX(products!$A$1:$G$49,MATCH($D913,products!$A$1:$A$49,0),MATCH(K$1,products!$A$1:$G$1,0))</f>
        <v>1</v>
      </c>
      <c r="L913" s="5">
        <f>INDEX(products!$A$1:$G$49,MATCH($D913,products!$A$1:$A$49,0),MATCH(L$1,products!$A$1:$G$1,0))</f>
        <v>11.25</v>
      </c>
      <c r="M913" s="5">
        <f t="shared" si="43"/>
        <v>45</v>
      </c>
      <c r="N913" t="str">
        <f t="shared" si="45"/>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f>
        <v>Paulie Fonzone</v>
      </c>
      <c r="G914" s="2" t="str">
        <f>IF(_xlfn.XLOOKUP(C914,customers!$A$1:$A$1001,customers!$C$1:$C$1001,,0)=0,"",_xlfn.XLOOKUP(C914,customers!$A$1:$A$1001,customers!$C$1:$C$1001,,0))</f>
        <v/>
      </c>
      <c r="H914" s="2" t="str">
        <f>_xlfn.XLOOKUP(C914,customers!$A$1:$A$1001,customers!$G$1:$G$1001,,0)</f>
        <v>United States</v>
      </c>
      <c r="I914" t="str">
        <f>INDEX(products!$A$1:$G$49,MATCH($D914,products!$A$1:$A$49,0),MATCH(I$1,products!$A$1:$G$1,0))</f>
        <v>Rob</v>
      </c>
      <c r="J914" t="str">
        <f>INDEX(products!$A$1:$G$49,MATCH($D914,products!$A$1:$A$49,0),MATCH(J$1,products!$A$1:$G$1,0))</f>
        <v>M</v>
      </c>
      <c r="K914" s="4">
        <f>INDEX(products!$A$1:$G$49,MATCH($D914,products!$A$1:$A$49,0),MATCH(K$1,products!$A$1:$G$1,0))</f>
        <v>2.5</v>
      </c>
      <c r="L914" s="5">
        <f>INDEX(products!$A$1:$G$49,MATCH($D914,products!$A$1:$A$49,0),MATCH(L$1,products!$A$1:$G$1,0))</f>
        <v>22.884999999999998</v>
      </c>
      <c r="M914" s="5">
        <f t="shared" si="43"/>
        <v>137.31</v>
      </c>
      <c r="N914" t="str">
        <f t="shared" si="45"/>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INDEX(products!$A$1:$G$49,MATCH($D915,products!$A$1:$A$49,0),MATCH(I$1,products!$A$1:$G$1,0))</f>
        <v>Ara</v>
      </c>
      <c r="J915" t="str">
        <f>INDEX(products!$A$1:$G$49,MATCH($D915,products!$A$1:$A$49,0),MATCH(J$1,products!$A$1:$G$1,0))</f>
        <v>M</v>
      </c>
      <c r="K915" s="4">
        <f>INDEX(products!$A$1:$G$49,MATCH($D915,products!$A$1:$A$49,0),MATCH(K$1,products!$A$1:$G$1,0))</f>
        <v>0.5</v>
      </c>
      <c r="L915" s="5">
        <f>INDEX(products!$A$1:$G$49,MATCH($D915,products!$A$1:$A$49,0),MATCH(L$1,products!$A$1:$G$1,0))</f>
        <v>6.75</v>
      </c>
      <c r="M915" s="5">
        <f t="shared" si="43"/>
        <v>6.75</v>
      </c>
      <c r="N915" t="str">
        <f t="shared" si="45"/>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INDEX(products!$A$1:$G$49,MATCH($D916,products!$A$1:$A$49,0),MATCH(I$1,products!$A$1:$G$1,0))</f>
        <v>Ara</v>
      </c>
      <c r="J916" t="str">
        <f>INDEX(products!$A$1:$G$49,MATCH($D916,products!$A$1:$A$49,0),MATCH(J$1,products!$A$1:$G$1,0))</f>
        <v>M</v>
      </c>
      <c r="K916" s="4">
        <f>INDEX(products!$A$1:$G$49,MATCH($D916,products!$A$1:$A$49,0),MATCH(K$1,products!$A$1:$G$1,0))</f>
        <v>1</v>
      </c>
      <c r="L916" s="5">
        <f>INDEX(products!$A$1:$G$49,MATCH($D916,products!$A$1:$A$49,0),MATCH(L$1,products!$A$1:$G$1,0))</f>
        <v>11.25</v>
      </c>
      <c r="M916" s="5">
        <f t="shared" si="43"/>
        <v>45</v>
      </c>
      <c r="N916" t="str">
        <f t="shared" si="45"/>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INDEX(products!$A$1:$G$49,MATCH($D917,products!$A$1:$A$49,0),MATCH(I$1,products!$A$1:$G$1,0))</f>
        <v>Exc</v>
      </c>
      <c r="J917" t="str">
        <f>INDEX(products!$A$1:$G$49,MATCH($D917,products!$A$1:$A$49,0),MATCH(J$1,products!$A$1:$G$1,0))</f>
        <v>D</v>
      </c>
      <c r="K917" s="4">
        <f>INDEX(products!$A$1:$G$49,MATCH($D917,products!$A$1:$A$49,0),MATCH(K$1,products!$A$1:$G$1,0))</f>
        <v>2.5</v>
      </c>
      <c r="L917" s="5">
        <f>INDEX(products!$A$1:$G$49,MATCH($D917,products!$A$1:$A$49,0),MATCH(L$1,products!$A$1:$G$1,0))</f>
        <v>27.945</v>
      </c>
      <c r="M917" s="5">
        <f t="shared" si="43"/>
        <v>83.835000000000008</v>
      </c>
      <c r="N917" t="str">
        <f t="shared" si="45"/>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f>
        <v>Harland Trematick</v>
      </c>
      <c r="G918" s="2" t="str">
        <f>IF(_xlfn.XLOOKUP(C918,customers!$A$1:$A$1001,customers!$C$1:$C$1001,,0)=0,"",_xlfn.XLOOKUP(C918,customers!$A$1:$A$1001,customers!$C$1:$C$1001,,0))</f>
        <v/>
      </c>
      <c r="H918" s="2" t="str">
        <f>_xlfn.XLOOKUP(C918,customers!$A$1:$A$1001,customers!$G$1:$G$1001,,0)</f>
        <v>Ireland</v>
      </c>
      <c r="I918" t="str">
        <f>INDEX(products!$A$1:$G$49,MATCH($D918,products!$A$1:$A$49,0),MATCH(I$1,products!$A$1:$G$1,0))</f>
        <v>Exc</v>
      </c>
      <c r="J918" t="str">
        <f>INDEX(products!$A$1:$G$49,MATCH($D918,products!$A$1:$A$49,0),MATCH(J$1,products!$A$1:$G$1,0))</f>
        <v>D</v>
      </c>
      <c r="K918" s="4">
        <f>INDEX(products!$A$1:$G$49,MATCH($D918,products!$A$1:$A$49,0),MATCH(K$1,products!$A$1:$G$1,0))</f>
        <v>0.2</v>
      </c>
      <c r="L918" s="5">
        <f>INDEX(products!$A$1:$G$49,MATCH($D918,products!$A$1:$A$49,0),MATCH(L$1,products!$A$1:$G$1,0))</f>
        <v>3.645</v>
      </c>
      <c r="M918" s="5">
        <f t="shared" si="43"/>
        <v>3.645</v>
      </c>
      <c r="N918" t="str">
        <f t="shared" si="45"/>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INDEX(products!$A$1:$G$49,MATCH($D919,products!$A$1:$A$49,0),MATCH(I$1,products!$A$1:$G$1,0))</f>
        <v>Ara</v>
      </c>
      <c r="J919" t="str">
        <f>INDEX(products!$A$1:$G$49,MATCH($D919,products!$A$1:$A$49,0),MATCH(J$1,products!$A$1:$G$1,0))</f>
        <v>M</v>
      </c>
      <c r="K919" s="4">
        <f>INDEX(products!$A$1:$G$49,MATCH($D919,products!$A$1:$A$49,0),MATCH(K$1,products!$A$1:$G$1,0))</f>
        <v>0.5</v>
      </c>
      <c r="L919" s="5">
        <f>INDEX(products!$A$1:$G$49,MATCH($D919,products!$A$1:$A$49,0),MATCH(L$1,products!$A$1:$G$1,0))</f>
        <v>6.75</v>
      </c>
      <c r="M919" s="5">
        <f t="shared" si="43"/>
        <v>6.75</v>
      </c>
      <c r="N919" t="str">
        <f t="shared" si="45"/>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INDEX(products!$A$1:$G$49,MATCH($D920,products!$A$1:$A$49,0),MATCH(I$1,products!$A$1:$G$1,0))</f>
        <v>Exc</v>
      </c>
      <c r="J920" t="str">
        <f>INDEX(products!$A$1:$G$49,MATCH($D920,products!$A$1:$A$49,0),MATCH(J$1,products!$A$1:$G$1,0))</f>
        <v>D</v>
      </c>
      <c r="K920" s="4">
        <f>INDEX(products!$A$1:$G$49,MATCH($D920,products!$A$1:$A$49,0),MATCH(K$1,products!$A$1:$G$1,0))</f>
        <v>0.5</v>
      </c>
      <c r="L920" s="5">
        <f>INDEX(products!$A$1:$G$49,MATCH($D920,products!$A$1:$A$49,0),MATCH(L$1,products!$A$1:$G$1,0))</f>
        <v>7.29</v>
      </c>
      <c r="M920" s="5">
        <f t="shared" si="43"/>
        <v>21.87</v>
      </c>
      <c r="N920" t="str">
        <f t="shared" si="45"/>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INDEX(products!$A$1:$G$49,MATCH($D921,products!$A$1:$A$49,0),MATCH(I$1,products!$A$1:$G$1,0))</f>
        <v>Rob</v>
      </c>
      <c r="J921" t="str">
        <f>INDEX(products!$A$1:$G$49,MATCH($D921,products!$A$1:$A$49,0),MATCH(J$1,products!$A$1:$G$1,0))</f>
        <v>D</v>
      </c>
      <c r="K921" s="4">
        <f>INDEX(products!$A$1:$G$49,MATCH($D921,products!$A$1:$A$49,0),MATCH(K$1,products!$A$1:$G$1,0))</f>
        <v>0.2</v>
      </c>
      <c r="L921" s="5">
        <f>INDEX(products!$A$1:$G$49,MATCH($D921,products!$A$1:$A$49,0),MATCH(L$1,products!$A$1:$G$1,0))</f>
        <v>2.6849999999999996</v>
      </c>
      <c r="M921" s="5">
        <f t="shared" si="43"/>
        <v>13.424999999999997</v>
      </c>
      <c r="N921" t="str">
        <f t="shared" si="45"/>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INDEX(products!$A$1:$G$49,MATCH($D922,products!$A$1:$A$49,0),MATCH(I$1,products!$A$1:$G$1,0))</f>
        <v>Rob</v>
      </c>
      <c r="J922" t="str">
        <f>INDEX(products!$A$1:$G$49,MATCH($D922,products!$A$1:$A$49,0),MATCH(J$1,products!$A$1:$G$1,0))</f>
        <v>D</v>
      </c>
      <c r="K922" s="4">
        <f>INDEX(products!$A$1:$G$49,MATCH($D922,products!$A$1:$A$49,0),MATCH(K$1,products!$A$1:$G$1,0))</f>
        <v>2.5</v>
      </c>
      <c r="L922" s="5">
        <f>INDEX(products!$A$1:$G$49,MATCH($D922,products!$A$1:$A$49,0),MATCH(L$1,products!$A$1:$G$1,0))</f>
        <v>20.584999999999997</v>
      </c>
      <c r="M922" s="5">
        <f t="shared" si="43"/>
        <v>123.50999999999999</v>
      </c>
      <c r="N922" t="str">
        <f t="shared" si="45"/>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INDEX(products!$A$1:$G$49,MATCH($D923,products!$A$1:$A$49,0),MATCH(I$1,products!$A$1:$G$1,0))</f>
        <v>Lib</v>
      </c>
      <c r="J923" t="str">
        <f>INDEX(products!$A$1:$G$49,MATCH($D923,products!$A$1:$A$49,0),MATCH(J$1,products!$A$1:$G$1,0))</f>
        <v>D</v>
      </c>
      <c r="K923" s="4">
        <f>INDEX(products!$A$1:$G$49,MATCH($D923,products!$A$1:$A$49,0),MATCH(K$1,products!$A$1:$G$1,0))</f>
        <v>0.2</v>
      </c>
      <c r="L923" s="5">
        <f>INDEX(products!$A$1:$G$49,MATCH($D923,products!$A$1:$A$49,0),MATCH(L$1,products!$A$1:$G$1,0))</f>
        <v>3.8849999999999998</v>
      </c>
      <c r="M923" s="5">
        <f t="shared" si="43"/>
        <v>7.77</v>
      </c>
      <c r="N923" t="str">
        <f t="shared" si="45"/>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f>
        <v>Charin Maplethorp</v>
      </c>
      <c r="G924" s="2" t="str">
        <f>IF(_xlfn.XLOOKUP(C924,customers!$A$1:$A$1001,customers!$C$1:$C$1001,,0)=0,"",_xlfn.XLOOKUP(C924,customers!$A$1:$A$1001,customers!$C$1:$C$1001,,0))</f>
        <v/>
      </c>
      <c r="H924" s="2" t="str">
        <f>_xlfn.XLOOKUP(C924,customers!$A$1:$A$1001,customers!$G$1:$G$1001,,0)</f>
        <v>United States</v>
      </c>
      <c r="I924" t="str">
        <f>INDEX(products!$A$1:$G$49,MATCH($D924,products!$A$1:$A$49,0),MATCH(I$1,products!$A$1:$G$1,0))</f>
        <v>Ara</v>
      </c>
      <c r="J924" t="str">
        <f>INDEX(products!$A$1:$G$49,MATCH($D924,products!$A$1:$A$49,0),MATCH(J$1,products!$A$1:$G$1,0))</f>
        <v>M</v>
      </c>
      <c r="K924" s="4">
        <f>INDEX(products!$A$1:$G$49,MATCH($D924,products!$A$1:$A$49,0),MATCH(K$1,products!$A$1:$G$1,0))</f>
        <v>1</v>
      </c>
      <c r="L924" s="5">
        <f>INDEX(products!$A$1:$G$49,MATCH($D924,products!$A$1:$A$49,0),MATCH(L$1,products!$A$1:$G$1,0))</f>
        <v>11.25</v>
      </c>
      <c r="M924" s="5">
        <f t="shared" si="43"/>
        <v>67.5</v>
      </c>
      <c r="N924" t="str">
        <f t="shared" si="45"/>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INDEX(products!$A$1:$G$49,MATCH($D925,products!$A$1:$A$49,0),MATCH(I$1,products!$A$1:$G$1,0))</f>
        <v>Exc</v>
      </c>
      <c r="J925" t="str">
        <f>INDEX(products!$A$1:$G$49,MATCH($D925,products!$A$1:$A$49,0),MATCH(J$1,products!$A$1:$G$1,0))</f>
        <v>D</v>
      </c>
      <c r="K925" s="4">
        <f>INDEX(products!$A$1:$G$49,MATCH($D925,products!$A$1:$A$49,0),MATCH(K$1,products!$A$1:$G$1,0))</f>
        <v>2.5</v>
      </c>
      <c r="L925" s="5">
        <f>INDEX(products!$A$1:$G$49,MATCH($D925,products!$A$1:$A$49,0),MATCH(L$1,products!$A$1:$G$1,0))</f>
        <v>27.945</v>
      </c>
      <c r="M925" s="5">
        <f t="shared" si="43"/>
        <v>27.945</v>
      </c>
      <c r="N925" t="str">
        <f t="shared" si="45"/>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INDEX(products!$A$1:$G$49,MATCH($D926,products!$A$1:$A$49,0),MATCH(I$1,products!$A$1:$G$1,0))</f>
        <v>Ara</v>
      </c>
      <c r="J926" t="str">
        <f>INDEX(products!$A$1:$G$49,MATCH($D926,products!$A$1:$A$49,0),MATCH(J$1,products!$A$1:$G$1,0))</f>
        <v>L</v>
      </c>
      <c r="K926" s="4">
        <f>INDEX(products!$A$1:$G$49,MATCH($D926,products!$A$1:$A$49,0),MATCH(K$1,products!$A$1:$G$1,0))</f>
        <v>2.5</v>
      </c>
      <c r="L926" s="5">
        <f>INDEX(products!$A$1:$G$49,MATCH($D926,products!$A$1:$A$49,0),MATCH(L$1,products!$A$1:$G$1,0))</f>
        <v>29.784999999999997</v>
      </c>
      <c r="M926" s="5">
        <f t="shared" si="43"/>
        <v>89.35499999999999</v>
      </c>
      <c r="N926" t="str">
        <f t="shared" si="45"/>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f>
        <v>Derick Snow</v>
      </c>
      <c r="G927" s="2" t="str">
        <f>IF(_xlfn.XLOOKUP(C927,customers!$A$1:$A$1001,customers!$C$1:$C$1001,,0)=0,"",_xlfn.XLOOKUP(C927,customers!$A$1:$A$1001,customers!$C$1:$C$1001,,0))</f>
        <v/>
      </c>
      <c r="H927" s="2" t="str">
        <f>_xlfn.XLOOKUP(C927,customers!$A$1:$A$1001,customers!$G$1:$G$1001,,0)</f>
        <v>United States</v>
      </c>
      <c r="I927" t="str">
        <f>INDEX(products!$A$1:$G$49,MATCH($D927,products!$A$1:$A$49,0),MATCH(I$1,products!$A$1:$G$1,0))</f>
        <v>Ara</v>
      </c>
      <c r="J927" t="str">
        <f>INDEX(products!$A$1:$G$49,MATCH($D927,products!$A$1:$A$49,0),MATCH(J$1,products!$A$1:$G$1,0))</f>
        <v>M</v>
      </c>
      <c r="K927" s="4">
        <f>INDEX(products!$A$1:$G$49,MATCH($D927,products!$A$1:$A$49,0),MATCH(K$1,products!$A$1:$G$1,0))</f>
        <v>0.5</v>
      </c>
      <c r="L927" s="5">
        <f>INDEX(products!$A$1:$G$49,MATCH($D927,products!$A$1:$A$49,0),MATCH(L$1,products!$A$1:$G$1,0))</f>
        <v>6.75</v>
      </c>
      <c r="M927" s="5">
        <f t="shared" si="43"/>
        <v>20.25</v>
      </c>
      <c r="N927" t="str">
        <f t="shared" si="45"/>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INDEX(products!$A$1:$G$49,MATCH($D928,products!$A$1:$A$49,0),MATCH(I$1,products!$A$1:$G$1,0))</f>
        <v>Ara</v>
      </c>
      <c r="J928" t="str">
        <f>INDEX(products!$A$1:$G$49,MATCH($D928,products!$A$1:$A$49,0),MATCH(J$1,products!$A$1:$G$1,0))</f>
        <v>M</v>
      </c>
      <c r="K928" s="4">
        <f>INDEX(products!$A$1:$G$49,MATCH($D928,products!$A$1:$A$49,0),MATCH(K$1,products!$A$1:$G$1,0))</f>
        <v>0.5</v>
      </c>
      <c r="L928" s="5">
        <f>INDEX(products!$A$1:$G$49,MATCH($D928,products!$A$1:$A$49,0),MATCH(L$1,products!$A$1:$G$1,0))</f>
        <v>6.75</v>
      </c>
      <c r="M928" s="5">
        <f t="shared" si="43"/>
        <v>33.75</v>
      </c>
      <c r="N928" t="str">
        <f t="shared" si="45"/>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INDEX(products!$A$1:$G$49,MATCH($D929,products!$A$1:$A$49,0),MATCH(I$1,products!$A$1:$G$1,0))</f>
        <v>Exc</v>
      </c>
      <c r="J929" t="str">
        <f>INDEX(products!$A$1:$G$49,MATCH($D929,products!$A$1:$A$49,0),MATCH(J$1,products!$A$1:$G$1,0))</f>
        <v>D</v>
      </c>
      <c r="K929" s="4">
        <f>INDEX(products!$A$1:$G$49,MATCH($D929,products!$A$1:$A$49,0),MATCH(K$1,products!$A$1:$G$1,0))</f>
        <v>2.5</v>
      </c>
      <c r="L929" s="5">
        <f>INDEX(products!$A$1:$G$49,MATCH($D929,products!$A$1:$A$49,0),MATCH(L$1,products!$A$1:$G$1,0))</f>
        <v>27.945</v>
      </c>
      <c r="M929" s="5">
        <f t="shared" si="43"/>
        <v>111.78</v>
      </c>
      <c r="N929" t="str">
        <f t="shared" si="45"/>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INDEX(products!$A$1:$G$49,MATCH($D930,products!$A$1:$A$49,0),MATCH(I$1,products!$A$1:$G$1,0))</f>
        <v>Exc</v>
      </c>
      <c r="J930" t="str">
        <f>INDEX(products!$A$1:$G$49,MATCH($D930,products!$A$1:$A$49,0),MATCH(J$1,products!$A$1:$G$1,0))</f>
        <v>M</v>
      </c>
      <c r="K930" s="4">
        <f>INDEX(products!$A$1:$G$49,MATCH($D930,products!$A$1:$A$49,0),MATCH(K$1,products!$A$1:$G$1,0))</f>
        <v>2.5</v>
      </c>
      <c r="L930" s="5">
        <f>INDEX(products!$A$1:$G$49,MATCH($D930,products!$A$1:$A$49,0),MATCH(L$1,products!$A$1:$G$1,0))</f>
        <v>31.624999999999996</v>
      </c>
      <c r="M930" s="5">
        <f t="shared" si="43"/>
        <v>63.249999999999993</v>
      </c>
      <c r="N930" t="str">
        <f t="shared" si="45"/>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INDEX(products!$A$1:$G$49,MATCH($D931,products!$A$1:$A$49,0),MATCH(I$1,products!$A$1:$G$1,0))</f>
        <v>Exc</v>
      </c>
      <c r="J931" t="str">
        <f>INDEX(products!$A$1:$G$49,MATCH($D931,products!$A$1:$A$49,0),MATCH(J$1,products!$A$1:$G$1,0))</f>
        <v>L</v>
      </c>
      <c r="K931" s="4">
        <f>INDEX(products!$A$1:$G$49,MATCH($D931,products!$A$1:$A$49,0),MATCH(K$1,products!$A$1:$G$1,0))</f>
        <v>0.2</v>
      </c>
      <c r="L931" s="5">
        <f>INDEX(products!$A$1:$G$49,MATCH($D931,products!$A$1:$A$49,0),MATCH(L$1,products!$A$1:$G$1,0))</f>
        <v>4.4550000000000001</v>
      </c>
      <c r="M931" s="5">
        <f t="shared" si="43"/>
        <v>8.91</v>
      </c>
      <c r="N931" t="str">
        <f t="shared" si="45"/>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INDEX(products!$A$1:$G$49,MATCH($D932,products!$A$1:$A$49,0),MATCH(I$1,products!$A$1:$G$1,0))</f>
        <v>Exc</v>
      </c>
      <c r="J932" t="str">
        <f>INDEX(products!$A$1:$G$49,MATCH($D932,products!$A$1:$A$49,0),MATCH(J$1,products!$A$1:$G$1,0))</f>
        <v>D</v>
      </c>
      <c r="K932" s="4">
        <f>INDEX(products!$A$1:$G$49,MATCH($D932,products!$A$1:$A$49,0),MATCH(K$1,products!$A$1:$G$1,0))</f>
        <v>1</v>
      </c>
      <c r="L932" s="5">
        <f>INDEX(products!$A$1:$G$49,MATCH($D932,products!$A$1:$A$49,0),MATCH(L$1,products!$A$1:$G$1,0))</f>
        <v>12.15</v>
      </c>
      <c r="M932" s="5">
        <f t="shared" si="43"/>
        <v>12.15</v>
      </c>
      <c r="N932" t="str">
        <f t="shared" si="45"/>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f>
        <v>Mallory Shrimpling</v>
      </c>
      <c r="G933" s="2" t="str">
        <f>IF(_xlfn.XLOOKUP(C933,customers!$A$1:$A$1001,customers!$C$1:$C$1001,,0)=0,"",_xlfn.XLOOKUP(C933,customers!$A$1:$A$1001,customers!$C$1:$C$1001,,0))</f>
        <v/>
      </c>
      <c r="H933" s="2" t="str">
        <f>_xlfn.XLOOKUP(C933,customers!$A$1:$A$1001,customers!$G$1:$G$1001,,0)</f>
        <v>United States</v>
      </c>
      <c r="I933" t="str">
        <f>INDEX(products!$A$1:$G$49,MATCH($D933,products!$A$1:$A$49,0),MATCH(I$1,products!$A$1:$G$1,0))</f>
        <v>Ara</v>
      </c>
      <c r="J933" t="str">
        <f>INDEX(products!$A$1:$G$49,MATCH($D933,products!$A$1:$A$49,0),MATCH(J$1,products!$A$1:$G$1,0))</f>
        <v>D</v>
      </c>
      <c r="K933" s="4">
        <f>INDEX(products!$A$1:$G$49,MATCH($D933,products!$A$1:$A$49,0),MATCH(K$1,products!$A$1:$G$1,0))</f>
        <v>0.5</v>
      </c>
      <c r="L933" s="5">
        <f>INDEX(products!$A$1:$G$49,MATCH($D933,products!$A$1:$A$49,0),MATCH(L$1,products!$A$1:$G$1,0))</f>
        <v>5.97</v>
      </c>
      <c r="M933" s="5">
        <f t="shared" si="43"/>
        <v>23.88</v>
      </c>
      <c r="N933" t="str">
        <f t="shared" si="45"/>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INDEX(products!$A$1:$G$49,MATCH($D934,products!$A$1:$A$49,0),MATCH(I$1,products!$A$1:$G$1,0))</f>
        <v>Exc</v>
      </c>
      <c r="J934" t="str">
        <f>INDEX(products!$A$1:$G$49,MATCH($D934,products!$A$1:$A$49,0),MATCH(J$1,products!$A$1:$G$1,0))</f>
        <v>M</v>
      </c>
      <c r="K934" s="4">
        <f>INDEX(products!$A$1:$G$49,MATCH($D934,products!$A$1:$A$49,0),MATCH(K$1,products!$A$1:$G$1,0))</f>
        <v>1</v>
      </c>
      <c r="L934" s="5">
        <f>INDEX(products!$A$1:$G$49,MATCH($D934,products!$A$1:$A$49,0),MATCH(L$1,products!$A$1:$G$1,0))</f>
        <v>13.75</v>
      </c>
      <c r="M934" s="5">
        <f t="shared" si="43"/>
        <v>55</v>
      </c>
      <c r="N934" t="str">
        <f t="shared" si="45"/>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f>
        <v>Brenn Dundredge</v>
      </c>
      <c r="G935" s="2" t="str">
        <f>IF(_xlfn.XLOOKUP(C935,customers!$A$1:$A$1001,customers!$C$1:$C$1001,,0)=0,"",_xlfn.XLOOKUP(C935,customers!$A$1:$A$1001,customers!$C$1:$C$1001,,0))</f>
        <v/>
      </c>
      <c r="H935" s="2" t="str">
        <f>_xlfn.XLOOKUP(C935,customers!$A$1:$A$1001,customers!$G$1:$G$1001,,0)</f>
        <v>United States</v>
      </c>
      <c r="I935" t="str">
        <f>INDEX(products!$A$1:$G$49,MATCH($D935,products!$A$1:$A$49,0),MATCH(I$1,products!$A$1:$G$1,0))</f>
        <v>Rob</v>
      </c>
      <c r="J935" t="str">
        <f>INDEX(products!$A$1:$G$49,MATCH($D935,products!$A$1:$A$49,0),MATCH(J$1,products!$A$1:$G$1,0))</f>
        <v>D</v>
      </c>
      <c r="K935" s="4">
        <f>INDEX(products!$A$1:$G$49,MATCH($D935,products!$A$1:$A$49,0),MATCH(K$1,products!$A$1:$G$1,0))</f>
        <v>1</v>
      </c>
      <c r="L935" s="5">
        <f>INDEX(products!$A$1:$G$49,MATCH($D935,products!$A$1:$A$49,0),MATCH(L$1,products!$A$1:$G$1,0))</f>
        <v>8.9499999999999993</v>
      </c>
      <c r="M935" s="5">
        <f t="shared" si="43"/>
        <v>26.849999999999998</v>
      </c>
      <c r="N935" t="str">
        <f t="shared" si="45"/>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INDEX(products!$A$1:$G$49,MATCH($D936,products!$A$1:$A$49,0),MATCH(I$1,products!$A$1:$G$1,0))</f>
        <v>Rob</v>
      </c>
      <c r="J936" t="str">
        <f>INDEX(products!$A$1:$G$49,MATCH($D936,products!$A$1:$A$49,0),MATCH(J$1,products!$A$1:$G$1,0))</f>
        <v>M</v>
      </c>
      <c r="K936" s="4">
        <f>INDEX(products!$A$1:$G$49,MATCH($D936,products!$A$1:$A$49,0),MATCH(K$1,products!$A$1:$G$1,0))</f>
        <v>2.5</v>
      </c>
      <c r="L936" s="5">
        <f>INDEX(products!$A$1:$G$49,MATCH($D936,products!$A$1:$A$49,0),MATCH(L$1,products!$A$1:$G$1,0))</f>
        <v>22.884999999999998</v>
      </c>
      <c r="M936" s="5">
        <f t="shared" si="43"/>
        <v>114.42499999999998</v>
      </c>
      <c r="N936" t="str">
        <f t="shared" si="45"/>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INDEX(products!$A$1:$G$49,MATCH($D937,products!$A$1:$A$49,0),MATCH(I$1,products!$A$1:$G$1,0))</f>
        <v>Ara</v>
      </c>
      <c r="J937" t="str">
        <f>INDEX(products!$A$1:$G$49,MATCH($D937,products!$A$1:$A$49,0),MATCH(J$1,products!$A$1:$G$1,0))</f>
        <v>M</v>
      </c>
      <c r="K937" s="4">
        <f>INDEX(products!$A$1:$G$49,MATCH($D937,products!$A$1:$A$49,0),MATCH(K$1,products!$A$1:$G$1,0))</f>
        <v>2.5</v>
      </c>
      <c r="L937" s="5">
        <f>INDEX(products!$A$1:$G$49,MATCH($D937,products!$A$1:$A$49,0),MATCH(L$1,products!$A$1:$G$1,0))</f>
        <v>25.874999999999996</v>
      </c>
      <c r="M937" s="5">
        <f t="shared" si="43"/>
        <v>155.24999999999997</v>
      </c>
      <c r="N937" t="str">
        <f t="shared" si="45"/>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INDEX(products!$A$1:$G$49,MATCH($D938,products!$A$1:$A$49,0),MATCH(I$1,products!$A$1:$G$1,0))</f>
        <v>Lib</v>
      </c>
      <c r="J938" t="str">
        <f>INDEX(products!$A$1:$G$49,MATCH($D938,products!$A$1:$A$49,0),MATCH(J$1,products!$A$1:$G$1,0))</f>
        <v>D</v>
      </c>
      <c r="K938" s="4">
        <f>INDEX(products!$A$1:$G$49,MATCH($D938,products!$A$1:$A$49,0),MATCH(K$1,products!$A$1:$G$1,0))</f>
        <v>0.5</v>
      </c>
      <c r="L938" s="5">
        <f>INDEX(products!$A$1:$G$49,MATCH($D938,products!$A$1:$A$49,0),MATCH(L$1,products!$A$1:$G$1,0))</f>
        <v>7.77</v>
      </c>
      <c r="M938" s="5">
        <f t="shared" si="43"/>
        <v>23.31</v>
      </c>
      <c r="N938" t="str">
        <f t="shared" si="45"/>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INDEX(products!$A$1:$G$49,MATCH($D939,products!$A$1:$A$49,0),MATCH(I$1,products!$A$1:$G$1,0))</f>
        <v>Rob</v>
      </c>
      <c r="J939" t="str">
        <f>INDEX(products!$A$1:$G$49,MATCH($D939,products!$A$1:$A$49,0),MATCH(J$1,products!$A$1:$G$1,0))</f>
        <v>M</v>
      </c>
      <c r="K939" s="4">
        <f>INDEX(products!$A$1:$G$49,MATCH($D939,products!$A$1:$A$49,0),MATCH(K$1,products!$A$1:$G$1,0))</f>
        <v>2.5</v>
      </c>
      <c r="L939" s="5">
        <f>INDEX(products!$A$1:$G$49,MATCH($D939,products!$A$1:$A$49,0),MATCH(L$1,products!$A$1:$G$1,0))</f>
        <v>22.884999999999998</v>
      </c>
      <c r="M939" s="5">
        <f t="shared" si="43"/>
        <v>91.539999999999992</v>
      </c>
      <c r="N939" t="str">
        <f t="shared" si="45"/>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f>
        <v>Dell Gut</v>
      </c>
      <c r="G940" s="2" t="str">
        <f>IF(_xlfn.XLOOKUP(C940,customers!$A$1:$A$1001,customers!$C$1:$C$1001,,0)=0,"",_xlfn.XLOOKUP(C940,customers!$A$1:$A$1001,customers!$C$1:$C$1001,,0))</f>
        <v>dgutq2@umich.edu</v>
      </c>
      <c r="H940" s="2" t="str">
        <f>_xlfn.XLOOKUP(C940,customers!$A$1:$A$1001,customers!$G$1:$G$1001,,0)</f>
        <v>United States</v>
      </c>
      <c r="I940" t="str">
        <f>INDEX(products!$A$1:$G$49,MATCH($D940,products!$A$1:$A$49,0),MATCH(I$1,products!$A$1:$G$1,0))</f>
        <v>Exc</v>
      </c>
      <c r="J940" t="str">
        <f>INDEX(products!$A$1:$G$49,MATCH($D940,products!$A$1:$A$49,0),MATCH(J$1,products!$A$1:$G$1,0))</f>
        <v>L</v>
      </c>
      <c r="K940" s="4">
        <f>INDEX(products!$A$1:$G$49,MATCH($D940,products!$A$1:$A$49,0),MATCH(K$1,products!$A$1:$G$1,0))</f>
        <v>1</v>
      </c>
      <c r="L940" s="5">
        <f>INDEX(products!$A$1:$G$49,MATCH($D940,products!$A$1:$A$49,0),MATCH(L$1,products!$A$1:$G$1,0))</f>
        <v>14.85</v>
      </c>
      <c r="M940" s="5">
        <f t="shared" si="43"/>
        <v>74.25</v>
      </c>
      <c r="N940" t="str">
        <f t="shared" si="45"/>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INDEX(products!$A$1:$G$49,MATCH($D941,products!$A$1:$A$49,0),MATCH(I$1,products!$A$1:$G$1,0))</f>
        <v>Lib</v>
      </c>
      <c r="J941" t="str">
        <f>INDEX(products!$A$1:$G$49,MATCH($D941,products!$A$1:$A$49,0),MATCH(J$1,products!$A$1:$G$1,0))</f>
        <v>L</v>
      </c>
      <c r="K941" s="4">
        <f>INDEX(products!$A$1:$G$49,MATCH($D941,products!$A$1:$A$49,0),MATCH(K$1,products!$A$1:$G$1,0))</f>
        <v>0.2</v>
      </c>
      <c r="L941" s="5">
        <f>INDEX(products!$A$1:$G$49,MATCH($D941,products!$A$1:$A$49,0),MATCH(L$1,products!$A$1:$G$1,0))</f>
        <v>4.7549999999999999</v>
      </c>
      <c r="M941" s="5">
        <f t="shared" si="43"/>
        <v>28.53</v>
      </c>
      <c r="N941" t="str">
        <f t="shared" si="45"/>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INDEX(products!$A$1:$G$49,MATCH($D942,products!$A$1:$A$49,0),MATCH(I$1,products!$A$1:$G$1,0))</f>
        <v>Rob</v>
      </c>
      <c r="J942" t="str">
        <f>INDEX(products!$A$1:$G$49,MATCH($D942,products!$A$1:$A$49,0),MATCH(J$1,products!$A$1:$G$1,0))</f>
        <v>L</v>
      </c>
      <c r="K942" s="4">
        <f>INDEX(products!$A$1:$G$49,MATCH($D942,products!$A$1:$A$49,0),MATCH(K$1,products!$A$1:$G$1,0))</f>
        <v>0.5</v>
      </c>
      <c r="L942" s="5">
        <f>INDEX(products!$A$1:$G$49,MATCH($D942,products!$A$1:$A$49,0),MATCH(L$1,products!$A$1:$G$1,0))</f>
        <v>7.169999999999999</v>
      </c>
      <c r="M942" s="5">
        <f t="shared" si="43"/>
        <v>14.339999999999998</v>
      </c>
      <c r="N942" t="str">
        <f t="shared" si="45"/>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INDEX(products!$A$1:$G$49,MATCH($D943,products!$A$1:$A$49,0),MATCH(I$1,products!$A$1:$G$1,0))</f>
        <v>Ara</v>
      </c>
      <c r="J943" t="str">
        <f>INDEX(products!$A$1:$G$49,MATCH($D943,products!$A$1:$A$49,0),MATCH(J$1,products!$A$1:$G$1,0))</f>
        <v>L</v>
      </c>
      <c r="K943" s="4">
        <f>INDEX(products!$A$1:$G$49,MATCH($D943,products!$A$1:$A$49,0),MATCH(K$1,products!$A$1:$G$1,0))</f>
        <v>0.5</v>
      </c>
      <c r="L943" s="5">
        <f>INDEX(products!$A$1:$G$49,MATCH($D943,products!$A$1:$A$49,0),MATCH(L$1,products!$A$1:$G$1,0))</f>
        <v>7.77</v>
      </c>
      <c r="M943" s="5">
        <f t="shared" si="43"/>
        <v>15.54</v>
      </c>
      <c r="N943" t="str">
        <f t="shared" si="45"/>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INDEX(products!$A$1:$G$49,MATCH($D944,products!$A$1:$A$49,0),MATCH(I$1,products!$A$1:$G$1,0))</f>
        <v>Rob</v>
      </c>
      <c r="J944" t="str">
        <f>INDEX(products!$A$1:$G$49,MATCH($D944,products!$A$1:$A$49,0),MATCH(J$1,products!$A$1:$G$1,0))</f>
        <v>L</v>
      </c>
      <c r="K944" s="4">
        <f>INDEX(products!$A$1:$G$49,MATCH($D944,products!$A$1:$A$49,0),MATCH(K$1,products!$A$1:$G$1,0))</f>
        <v>1</v>
      </c>
      <c r="L944" s="5">
        <f>INDEX(products!$A$1:$G$49,MATCH($D944,products!$A$1:$A$49,0),MATCH(L$1,products!$A$1:$G$1,0))</f>
        <v>11.95</v>
      </c>
      <c r="M944" s="5">
        <f t="shared" si="43"/>
        <v>35.849999999999994</v>
      </c>
      <c r="N944" t="str">
        <f t="shared" si="45"/>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INDEX(products!$A$1:$G$49,MATCH($D945,products!$A$1:$A$49,0),MATCH(I$1,products!$A$1:$G$1,0))</f>
        <v>Ara</v>
      </c>
      <c r="J945" t="str">
        <f>INDEX(products!$A$1:$G$49,MATCH($D945,products!$A$1:$A$49,0),MATCH(J$1,products!$A$1:$G$1,0))</f>
        <v>L</v>
      </c>
      <c r="K945" s="4">
        <f>INDEX(products!$A$1:$G$49,MATCH($D945,products!$A$1:$A$49,0),MATCH(K$1,products!$A$1:$G$1,0))</f>
        <v>0.5</v>
      </c>
      <c r="L945" s="5">
        <f>INDEX(products!$A$1:$G$49,MATCH($D945,products!$A$1:$A$49,0),MATCH(L$1,products!$A$1:$G$1,0))</f>
        <v>7.77</v>
      </c>
      <c r="M945" s="5">
        <f t="shared" si="43"/>
        <v>46.62</v>
      </c>
      <c r="N945" t="str">
        <f t="shared" si="45"/>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INDEX(products!$A$1:$G$49,MATCH($D946,products!$A$1:$A$49,0),MATCH(I$1,products!$A$1:$G$1,0))</f>
        <v>Rob</v>
      </c>
      <c r="J946" t="str">
        <f>INDEX(products!$A$1:$G$49,MATCH($D946,products!$A$1:$A$49,0),MATCH(J$1,products!$A$1:$G$1,0))</f>
        <v>L</v>
      </c>
      <c r="K946" s="4">
        <f>INDEX(products!$A$1:$G$49,MATCH($D946,products!$A$1:$A$49,0),MATCH(K$1,products!$A$1:$G$1,0))</f>
        <v>0.5</v>
      </c>
      <c r="L946" s="5">
        <f>INDEX(products!$A$1:$G$49,MATCH($D946,products!$A$1:$A$49,0),MATCH(L$1,products!$A$1:$G$1,0))</f>
        <v>7.169999999999999</v>
      </c>
      <c r="M946" s="5">
        <f t="shared" si="43"/>
        <v>35.849999999999994</v>
      </c>
      <c r="N946" t="str">
        <f t="shared" si="45"/>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f>
        <v>Jaimie Hatz</v>
      </c>
      <c r="G947" s="2" t="str">
        <f>IF(_xlfn.XLOOKUP(C947,customers!$A$1:$A$1001,customers!$C$1:$C$1001,,0)=0,"",_xlfn.XLOOKUP(C947,customers!$A$1:$A$1001,customers!$C$1:$C$1001,,0))</f>
        <v/>
      </c>
      <c r="H947" s="2" t="str">
        <f>_xlfn.XLOOKUP(C947,customers!$A$1:$A$1001,customers!$G$1:$G$1001,,0)</f>
        <v>United States</v>
      </c>
      <c r="I947" t="str">
        <f>INDEX(products!$A$1:$G$49,MATCH($D947,products!$A$1:$A$49,0),MATCH(I$1,products!$A$1:$G$1,0))</f>
        <v>Lib</v>
      </c>
      <c r="J947" t="str">
        <f>INDEX(products!$A$1:$G$49,MATCH($D947,products!$A$1:$A$49,0),MATCH(J$1,products!$A$1:$G$1,0))</f>
        <v>D</v>
      </c>
      <c r="K947" s="4">
        <f>INDEX(products!$A$1:$G$49,MATCH($D947,products!$A$1:$A$49,0),MATCH(K$1,products!$A$1:$G$1,0))</f>
        <v>2.5</v>
      </c>
      <c r="L947" s="5">
        <f>INDEX(products!$A$1:$G$49,MATCH($D947,products!$A$1:$A$49,0),MATCH(L$1,products!$A$1:$G$1,0))</f>
        <v>29.784999999999997</v>
      </c>
      <c r="M947" s="5">
        <f t="shared" si="43"/>
        <v>119.13999999999999</v>
      </c>
      <c r="N947" t="str">
        <f t="shared" si="45"/>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f>
        <v>Edeline Edney</v>
      </c>
      <c r="G948" s="2" t="str">
        <f>IF(_xlfn.XLOOKUP(C948,customers!$A$1:$A$1001,customers!$C$1:$C$1001,,0)=0,"",_xlfn.XLOOKUP(C948,customers!$A$1:$A$1001,customers!$C$1:$C$1001,,0))</f>
        <v/>
      </c>
      <c r="H948" s="2" t="str">
        <f>_xlfn.XLOOKUP(C948,customers!$A$1:$A$1001,customers!$G$1:$G$1001,,0)</f>
        <v>United States</v>
      </c>
      <c r="I948" t="str">
        <f>INDEX(products!$A$1:$G$49,MATCH($D948,products!$A$1:$A$49,0),MATCH(I$1,products!$A$1:$G$1,0))</f>
        <v>Lib</v>
      </c>
      <c r="J948" t="str">
        <f>INDEX(products!$A$1:$G$49,MATCH($D948,products!$A$1:$A$49,0),MATCH(J$1,products!$A$1:$G$1,0))</f>
        <v>D</v>
      </c>
      <c r="K948" s="4">
        <f>INDEX(products!$A$1:$G$49,MATCH($D948,products!$A$1:$A$49,0),MATCH(K$1,products!$A$1:$G$1,0))</f>
        <v>0.5</v>
      </c>
      <c r="L948" s="5">
        <f>INDEX(products!$A$1:$G$49,MATCH($D948,products!$A$1:$A$49,0),MATCH(L$1,products!$A$1:$G$1,0))</f>
        <v>7.77</v>
      </c>
      <c r="M948" s="5">
        <f t="shared" si="43"/>
        <v>23.31</v>
      </c>
      <c r="N948" t="str">
        <f t="shared" si="45"/>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f>
        <v>Rickie Faltin</v>
      </c>
      <c r="G949" s="2" t="str">
        <f>IF(_xlfn.XLOOKUP(C949,customers!$A$1:$A$1001,customers!$C$1:$C$1001,,0)=0,"",_xlfn.XLOOKUP(C949,customers!$A$1:$A$1001,customers!$C$1:$C$1001,,0))</f>
        <v>rfaltinqb@topsy.com</v>
      </c>
      <c r="H949" s="2" t="str">
        <f>_xlfn.XLOOKUP(C949,customers!$A$1:$A$1001,customers!$G$1:$G$1001,,0)</f>
        <v>Ireland</v>
      </c>
      <c r="I949" t="str">
        <f>INDEX(products!$A$1:$G$49,MATCH($D949,products!$A$1:$A$49,0),MATCH(I$1,products!$A$1:$G$1,0))</f>
        <v>Ara</v>
      </c>
      <c r="J949" t="str">
        <f>INDEX(products!$A$1:$G$49,MATCH($D949,products!$A$1:$A$49,0),MATCH(J$1,products!$A$1:$G$1,0))</f>
        <v>M</v>
      </c>
      <c r="K949" s="4">
        <f>INDEX(products!$A$1:$G$49,MATCH($D949,products!$A$1:$A$49,0),MATCH(K$1,products!$A$1:$G$1,0))</f>
        <v>1</v>
      </c>
      <c r="L949" s="5">
        <f>INDEX(products!$A$1:$G$49,MATCH($D949,products!$A$1:$A$49,0),MATCH(L$1,products!$A$1:$G$1,0))</f>
        <v>11.25</v>
      </c>
      <c r="M949" s="5">
        <f t="shared" si="43"/>
        <v>11.25</v>
      </c>
      <c r="N949" t="str">
        <f t="shared" si="45"/>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INDEX(products!$A$1:$G$49,MATCH($D950,products!$A$1:$A$49,0),MATCH(I$1,products!$A$1:$G$1,0))</f>
        <v>Exc</v>
      </c>
      <c r="J950" t="str">
        <f>INDEX(products!$A$1:$G$49,MATCH($D950,products!$A$1:$A$49,0),MATCH(J$1,products!$A$1:$G$1,0))</f>
        <v>D</v>
      </c>
      <c r="K950" s="4">
        <f>INDEX(products!$A$1:$G$49,MATCH($D950,products!$A$1:$A$49,0),MATCH(K$1,products!$A$1:$G$1,0))</f>
        <v>2.5</v>
      </c>
      <c r="L950" s="5">
        <f>INDEX(products!$A$1:$G$49,MATCH($D950,products!$A$1:$A$49,0),MATCH(L$1,products!$A$1:$G$1,0))</f>
        <v>27.945</v>
      </c>
      <c r="M950" s="5">
        <f t="shared" si="43"/>
        <v>83.835000000000008</v>
      </c>
      <c r="N950" t="str">
        <f t="shared" si="45"/>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f>
        <v>Gwenni Ratt</v>
      </c>
      <c r="G951" s="2" t="str">
        <f>IF(_xlfn.XLOOKUP(C951,customers!$A$1:$A$1001,customers!$C$1:$C$1001,,0)=0,"",_xlfn.XLOOKUP(C951,customers!$A$1:$A$1001,customers!$C$1:$C$1001,,0))</f>
        <v>grattqd@phpbb.com</v>
      </c>
      <c r="H951" s="2" t="str">
        <f>_xlfn.XLOOKUP(C951,customers!$A$1:$A$1001,customers!$G$1:$G$1001,,0)</f>
        <v>Ireland</v>
      </c>
      <c r="I951" t="str">
        <f>INDEX(products!$A$1:$G$49,MATCH($D951,products!$A$1:$A$49,0),MATCH(I$1,products!$A$1:$G$1,0))</f>
        <v>Rob</v>
      </c>
      <c r="J951" t="str">
        <f>INDEX(products!$A$1:$G$49,MATCH($D951,products!$A$1:$A$49,0),MATCH(J$1,products!$A$1:$G$1,0))</f>
        <v>L</v>
      </c>
      <c r="K951" s="4">
        <f>INDEX(products!$A$1:$G$49,MATCH($D951,products!$A$1:$A$49,0),MATCH(K$1,products!$A$1:$G$1,0))</f>
        <v>2.5</v>
      </c>
      <c r="L951" s="5">
        <f>INDEX(products!$A$1:$G$49,MATCH($D951,products!$A$1:$A$49,0),MATCH(L$1,products!$A$1:$G$1,0))</f>
        <v>27.484999999999996</v>
      </c>
      <c r="M951" s="5">
        <f t="shared" si="43"/>
        <v>109.93999999999998</v>
      </c>
      <c r="N951" t="str">
        <f t="shared" si="45"/>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f>
        <v>Johnath Fairebrother</v>
      </c>
      <c r="G952" s="2" t="str">
        <f>IF(_xlfn.XLOOKUP(C952,customers!$A$1:$A$1001,customers!$C$1:$C$1001,,0)=0,"",_xlfn.XLOOKUP(C952,customers!$A$1:$A$1001,customers!$C$1:$C$1001,,0))</f>
        <v/>
      </c>
      <c r="H952" s="2" t="str">
        <f>_xlfn.XLOOKUP(C952,customers!$A$1:$A$1001,customers!$G$1:$G$1001,,0)</f>
        <v>United States</v>
      </c>
      <c r="I952" t="str">
        <f>INDEX(products!$A$1:$G$49,MATCH($D952,products!$A$1:$A$49,0),MATCH(I$1,products!$A$1:$G$1,0))</f>
        <v>Rob</v>
      </c>
      <c r="J952" t="str">
        <f>INDEX(products!$A$1:$G$49,MATCH($D952,products!$A$1:$A$49,0),MATCH(J$1,products!$A$1:$G$1,0))</f>
        <v>L</v>
      </c>
      <c r="K952" s="4">
        <f>INDEX(products!$A$1:$G$49,MATCH($D952,products!$A$1:$A$49,0),MATCH(K$1,products!$A$1:$G$1,0))</f>
        <v>0.2</v>
      </c>
      <c r="L952" s="5">
        <f>INDEX(products!$A$1:$G$49,MATCH($D952,products!$A$1:$A$49,0),MATCH(L$1,products!$A$1:$G$1,0))</f>
        <v>3.5849999999999995</v>
      </c>
      <c r="M952" s="5">
        <f t="shared" si="43"/>
        <v>14.339999999999998</v>
      </c>
      <c r="N952" t="str">
        <f t="shared" si="45"/>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INDEX(products!$A$1:$G$49,MATCH($D953,products!$A$1:$A$49,0),MATCH(I$1,products!$A$1:$G$1,0))</f>
        <v>Rob</v>
      </c>
      <c r="J953" t="str">
        <f>INDEX(products!$A$1:$G$49,MATCH($D953,products!$A$1:$A$49,0),MATCH(J$1,products!$A$1:$G$1,0))</f>
        <v>L</v>
      </c>
      <c r="K953" s="4">
        <f>INDEX(products!$A$1:$G$49,MATCH($D953,products!$A$1:$A$49,0),MATCH(K$1,products!$A$1:$G$1,0))</f>
        <v>0.2</v>
      </c>
      <c r="L953" s="5">
        <f>INDEX(products!$A$1:$G$49,MATCH($D953,products!$A$1:$A$49,0),MATCH(L$1,products!$A$1:$G$1,0))</f>
        <v>3.5849999999999995</v>
      </c>
      <c r="M953" s="5">
        <f t="shared" si="43"/>
        <v>21.509999999999998</v>
      </c>
      <c r="N953" t="str">
        <f t="shared" si="45"/>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f>
        <v>Jilly Dreng</v>
      </c>
      <c r="G954" s="2" t="str">
        <f>IF(_xlfn.XLOOKUP(C954,customers!$A$1:$A$1001,customers!$C$1:$C$1001,,0)=0,"",_xlfn.XLOOKUP(C954,customers!$A$1:$A$1001,customers!$C$1:$C$1001,,0))</f>
        <v>jdrengqg@uiuc.edu</v>
      </c>
      <c r="H954" s="2" t="str">
        <f>_xlfn.XLOOKUP(C954,customers!$A$1:$A$1001,customers!$G$1:$G$1001,,0)</f>
        <v>Ireland</v>
      </c>
      <c r="I954" t="str">
        <f>INDEX(products!$A$1:$G$49,MATCH($D954,products!$A$1:$A$49,0),MATCH(I$1,products!$A$1:$G$1,0))</f>
        <v>Ara</v>
      </c>
      <c r="J954" t="str">
        <f>INDEX(products!$A$1:$G$49,MATCH($D954,products!$A$1:$A$49,0),MATCH(J$1,products!$A$1:$G$1,0))</f>
        <v>M</v>
      </c>
      <c r="K954" s="4">
        <f>INDEX(products!$A$1:$G$49,MATCH($D954,products!$A$1:$A$49,0),MATCH(K$1,products!$A$1:$G$1,0))</f>
        <v>1</v>
      </c>
      <c r="L954" s="5">
        <f>INDEX(products!$A$1:$G$49,MATCH($D954,products!$A$1:$A$49,0),MATCH(L$1,products!$A$1:$G$1,0))</f>
        <v>11.25</v>
      </c>
      <c r="M954" s="5">
        <f t="shared" si="43"/>
        <v>22.5</v>
      </c>
      <c r="N954" t="str">
        <f t="shared" si="45"/>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f>
        <v>Brenn Dundredge</v>
      </c>
      <c r="G955" s="2" t="str">
        <f>IF(_xlfn.XLOOKUP(C955,customers!$A$1:$A$1001,customers!$C$1:$C$1001,,0)=0,"",_xlfn.XLOOKUP(C955,customers!$A$1:$A$1001,customers!$C$1:$C$1001,,0))</f>
        <v/>
      </c>
      <c r="H955" s="2" t="str">
        <f>_xlfn.XLOOKUP(C955,customers!$A$1:$A$1001,customers!$G$1:$G$1001,,0)</f>
        <v>United States</v>
      </c>
      <c r="I955" t="str">
        <f>INDEX(products!$A$1:$G$49,MATCH($D955,products!$A$1:$A$49,0),MATCH(I$1,products!$A$1:$G$1,0))</f>
        <v>Ara</v>
      </c>
      <c r="J955" t="str">
        <f>INDEX(products!$A$1:$G$49,MATCH($D955,products!$A$1:$A$49,0),MATCH(J$1,products!$A$1:$G$1,0))</f>
        <v>L</v>
      </c>
      <c r="K955" s="4">
        <f>INDEX(products!$A$1:$G$49,MATCH($D955,products!$A$1:$A$49,0),MATCH(K$1,products!$A$1:$G$1,0))</f>
        <v>0.2</v>
      </c>
      <c r="L955" s="5">
        <f>INDEX(products!$A$1:$G$49,MATCH($D955,products!$A$1:$A$49,0),MATCH(L$1,products!$A$1:$G$1,0))</f>
        <v>3.8849999999999998</v>
      </c>
      <c r="M955" s="5">
        <f t="shared" si="43"/>
        <v>3.8849999999999998</v>
      </c>
      <c r="N955" t="str">
        <f t="shared" si="45"/>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f>
        <v>Brenn Dundredge</v>
      </c>
      <c r="G956" s="2" t="str">
        <f>IF(_xlfn.XLOOKUP(C956,customers!$A$1:$A$1001,customers!$C$1:$C$1001,,0)=0,"",_xlfn.XLOOKUP(C956,customers!$A$1:$A$1001,customers!$C$1:$C$1001,,0))</f>
        <v/>
      </c>
      <c r="H956" s="2" t="str">
        <f>_xlfn.XLOOKUP(C956,customers!$A$1:$A$1001,customers!$G$1:$G$1001,,0)</f>
        <v>United States</v>
      </c>
      <c r="I956" t="str">
        <f>INDEX(products!$A$1:$G$49,MATCH($D956,products!$A$1:$A$49,0),MATCH(I$1,products!$A$1:$G$1,0))</f>
        <v>Exc</v>
      </c>
      <c r="J956" t="str">
        <f>INDEX(products!$A$1:$G$49,MATCH($D956,products!$A$1:$A$49,0),MATCH(J$1,products!$A$1:$G$1,0))</f>
        <v>D</v>
      </c>
      <c r="K956" s="4">
        <f>INDEX(products!$A$1:$G$49,MATCH($D956,products!$A$1:$A$49,0),MATCH(K$1,products!$A$1:$G$1,0))</f>
        <v>2.5</v>
      </c>
      <c r="L956" s="5">
        <f>INDEX(products!$A$1:$G$49,MATCH($D956,products!$A$1:$A$49,0),MATCH(L$1,products!$A$1:$G$1,0))</f>
        <v>27.945</v>
      </c>
      <c r="M956" s="5">
        <f t="shared" si="43"/>
        <v>27.945</v>
      </c>
      <c r="N956" t="str">
        <f t="shared" si="45"/>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f>
        <v>Brenn Dundredge</v>
      </c>
      <c r="G957" s="2" t="str">
        <f>IF(_xlfn.XLOOKUP(C957,customers!$A$1:$A$1001,customers!$C$1:$C$1001,,0)=0,"",_xlfn.XLOOKUP(C957,customers!$A$1:$A$1001,customers!$C$1:$C$1001,,0))</f>
        <v/>
      </c>
      <c r="H957" s="2" t="str">
        <f>_xlfn.XLOOKUP(C957,customers!$A$1:$A$1001,customers!$G$1:$G$1001,,0)</f>
        <v>United States</v>
      </c>
      <c r="I957" t="str">
        <f>INDEX(products!$A$1:$G$49,MATCH($D957,products!$A$1:$A$49,0),MATCH(I$1,products!$A$1:$G$1,0))</f>
        <v>Exc</v>
      </c>
      <c r="J957" t="str">
        <f>INDEX(products!$A$1:$G$49,MATCH($D957,products!$A$1:$A$49,0),MATCH(J$1,products!$A$1:$G$1,0))</f>
        <v>L</v>
      </c>
      <c r="K957" s="4">
        <f>INDEX(products!$A$1:$G$49,MATCH($D957,products!$A$1:$A$49,0),MATCH(K$1,products!$A$1:$G$1,0))</f>
        <v>2.5</v>
      </c>
      <c r="L957" s="5">
        <f>INDEX(products!$A$1:$G$49,MATCH($D957,products!$A$1:$A$49,0),MATCH(L$1,products!$A$1:$G$1,0))</f>
        <v>34.154999999999994</v>
      </c>
      <c r="M957" s="5">
        <f t="shared" si="43"/>
        <v>170.77499999999998</v>
      </c>
      <c r="N957" t="str">
        <f t="shared" si="45"/>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f>
        <v>Brenn Dundredge</v>
      </c>
      <c r="G958" s="2" t="str">
        <f>IF(_xlfn.XLOOKUP(C958,customers!$A$1:$A$1001,customers!$C$1:$C$1001,,0)=0,"",_xlfn.XLOOKUP(C958,customers!$A$1:$A$1001,customers!$C$1:$C$1001,,0))</f>
        <v/>
      </c>
      <c r="H958" s="2" t="str">
        <f>_xlfn.XLOOKUP(C958,customers!$A$1:$A$1001,customers!$G$1:$G$1001,,0)</f>
        <v>United States</v>
      </c>
      <c r="I958" t="str">
        <f>INDEX(products!$A$1:$G$49,MATCH($D958,products!$A$1:$A$49,0),MATCH(I$1,products!$A$1:$G$1,0))</f>
        <v>Rob</v>
      </c>
      <c r="J958" t="str">
        <f>INDEX(products!$A$1:$G$49,MATCH($D958,products!$A$1:$A$49,0),MATCH(J$1,products!$A$1:$G$1,0))</f>
        <v>L</v>
      </c>
      <c r="K958" s="4">
        <f>INDEX(products!$A$1:$G$49,MATCH($D958,products!$A$1:$A$49,0),MATCH(K$1,products!$A$1:$G$1,0))</f>
        <v>2.5</v>
      </c>
      <c r="L958" s="5">
        <f>INDEX(products!$A$1:$G$49,MATCH($D958,products!$A$1:$A$49,0),MATCH(L$1,products!$A$1:$G$1,0))</f>
        <v>27.484999999999996</v>
      </c>
      <c r="M958" s="5">
        <f t="shared" si="43"/>
        <v>54.969999999999992</v>
      </c>
      <c r="N958" t="str">
        <f t="shared" si="45"/>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f>
        <v>Brenn Dundredge</v>
      </c>
      <c r="G959" s="2" t="str">
        <f>IF(_xlfn.XLOOKUP(C959,customers!$A$1:$A$1001,customers!$C$1:$C$1001,,0)=0,"",_xlfn.XLOOKUP(C959,customers!$A$1:$A$1001,customers!$C$1:$C$1001,,0))</f>
        <v/>
      </c>
      <c r="H959" s="2" t="str">
        <f>_xlfn.XLOOKUP(C959,customers!$A$1:$A$1001,customers!$G$1:$G$1001,,0)</f>
        <v>United States</v>
      </c>
      <c r="I959" t="str">
        <f>INDEX(products!$A$1:$G$49,MATCH($D959,products!$A$1:$A$49,0),MATCH(I$1,products!$A$1:$G$1,0))</f>
        <v>Exc</v>
      </c>
      <c r="J959" t="str">
        <f>INDEX(products!$A$1:$G$49,MATCH($D959,products!$A$1:$A$49,0),MATCH(J$1,products!$A$1:$G$1,0))</f>
        <v>L</v>
      </c>
      <c r="K959" s="4">
        <f>INDEX(products!$A$1:$G$49,MATCH($D959,products!$A$1:$A$49,0),MATCH(K$1,products!$A$1:$G$1,0))</f>
        <v>1</v>
      </c>
      <c r="L959" s="5">
        <f>INDEX(products!$A$1:$G$49,MATCH($D959,products!$A$1:$A$49,0),MATCH(L$1,products!$A$1:$G$1,0))</f>
        <v>14.85</v>
      </c>
      <c r="M959" s="5">
        <f t="shared" si="43"/>
        <v>14.85</v>
      </c>
      <c r="N959" t="str">
        <f t="shared" si="45"/>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f>
        <v>Brenn Dundredge</v>
      </c>
      <c r="G960" s="2" t="str">
        <f>IF(_xlfn.XLOOKUP(C960,customers!$A$1:$A$1001,customers!$C$1:$C$1001,,0)=0,"",_xlfn.XLOOKUP(C960,customers!$A$1:$A$1001,customers!$C$1:$C$1001,,0))</f>
        <v/>
      </c>
      <c r="H960" s="2" t="str">
        <f>_xlfn.XLOOKUP(C960,customers!$A$1:$A$1001,customers!$G$1:$G$1001,,0)</f>
        <v>United States</v>
      </c>
      <c r="I960" t="str">
        <f>INDEX(products!$A$1:$G$49,MATCH($D960,products!$A$1:$A$49,0),MATCH(I$1,products!$A$1:$G$1,0))</f>
        <v>Ara</v>
      </c>
      <c r="J960" t="str">
        <f>INDEX(products!$A$1:$G$49,MATCH($D960,products!$A$1:$A$49,0),MATCH(J$1,products!$A$1:$G$1,0))</f>
        <v>L</v>
      </c>
      <c r="K960" s="4">
        <f>INDEX(products!$A$1:$G$49,MATCH($D960,products!$A$1:$A$49,0),MATCH(K$1,products!$A$1:$G$1,0))</f>
        <v>0.2</v>
      </c>
      <c r="L960" s="5">
        <f>INDEX(products!$A$1:$G$49,MATCH($D960,products!$A$1:$A$49,0),MATCH(L$1,products!$A$1:$G$1,0))</f>
        <v>3.8849999999999998</v>
      </c>
      <c r="M960" s="5">
        <f t="shared" si="43"/>
        <v>7.77</v>
      </c>
      <c r="N960" t="str">
        <f t="shared" si="45"/>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INDEX(products!$A$1:$G$49,MATCH($D961,products!$A$1:$A$49,0),MATCH(I$1,products!$A$1:$G$1,0))</f>
        <v>Lib</v>
      </c>
      <c r="J961" t="str">
        <f>INDEX(products!$A$1:$G$49,MATCH($D961,products!$A$1:$A$49,0),MATCH(J$1,products!$A$1:$G$1,0))</f>
        <v>L</v>
      </c>
      <c r="K961" s="4">
        <f>INDEX(products!$A$1:$G$49,MATCH($D961,products!$A$1:$A$49,0),MATCH(K$1,products!$A$1:$G$1,0))</f>
        <v>0.2</v>
      </c>
      <c r="L961" s="5">
        <f>INDEX(products!$A$1:$G$49,MATCH($D961,products!$A$1:$A$49,0),MATCH(L$1,products!$A$1:$G$1,0))</f>
        <v>4.7549999999999999</v>
      </c>
      <c r="M961" s="5">
        <f t="shared" si="43"/>
        <v>23.774999999999999</v>
      </c>
      <c r="N961" t="str">
        <f t="shared" si="45"/>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INDEX(products!$A$1:$G$49,MATCH($D962,products!$A$1:$A$49,0),MATCH(I$1,products!$A$1:$G$1,0))</f>
        <v>Lib</v>
      </c>
      <c r="J962" t="str">
        <f>INDEX(products!$A$1:$G$49,MATCH($D962,products!$A$1:$A$49,0),MATCH(J$1,products!$A$1:$G$1,0))</f>
        <v>L</v>
      </c>
      <c r="K962" s="4">
        <f>INDEX(products!$A$1:$G$49,MATCH($D962,products!$A$1:$A$49,0),MATCH(K$1,products!$A$1:$G$1,0))</f>
        <v>1</v>
      </c>
      <c r="L962" s="5">
        <f>INDEX(products!$A$1:$G$49,MATCH($D962,products!$A$1:$A$49,0),MATCH(L$1,products!$A$1:$G$1,0))</f>
        <v>15.85</v>
      </c>
      <c r="M962" s="5">
        <f t="shared" si="43"/>
        <v>79.25</v>
      </c>
      <c r="N962" t="str">
        <f t="shared" si="45"/>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f>
        <v>Florinda Matusovsky</v>
      </c>
      <c r="G963" s="2" t="str">
        <f>IF(_xlfn.XLOOKUP(C963,customers!$A$1:$A$1001,customers!$C$1:$C$1001,,0)=0,"",_xlfn.XLOOKUP(C963,customers!$A$1:$A$1001,customers!$C$1:$C$1001,,0))</f>
        <v/>
      </c>
      <c r="H963" s="2" t="str">
        <f>_xlfn.XLOOKUP(C963,customers!$A$1:$A$1001,customers!$G$1:$G$1001,,0)</f>
        <v>United States</v>
      </c>
      <c r="I963" t="str">
        <f>INDEX(products!$A$1:$G$49,MATCH($D963,products!$A$1:$A$49,0),MATCH(I$1,products!$A$1:$G$1,0))</f>
        <v>Ara</v>
      </c>
      <c r="J963" t="str">
        <f>INDEX(products!$A$1:$G$49,MATCH($D963,products!$A$1:$A$49,0),MATCH(J$1,products!$A$1:$G$1,0))</f>
        <v>D</v>
      </c>
      <c r="K963" s="4">
        <f>INDEX(products!$A$1:$G$49,MATCH($D963,products!$A$1:$A$49,0),MATCH(K$1,products!$A$1:$G$1,0))</f>
        <v>2.5</v>
      </c>
      <c r="L963" s="5">
        <f>INDEX(products!$A$1:$G$49,MATCH($D963,products!$A$1:$A$49,0),MATCH(L$1,products!$A$1:$G$1,0))</f>
        <v>22.884999999999998</v>
      </c>
      <c r="M963" s="5">
        <f t="shared" ref="M963:M1001" si="46">L963*E963</f>
        <v>45.769999999999996</v>
      </c>
      <c r="N963" t="str">
        <f t="shared" si="45"/>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f>
        <v>Morly Rocks</v>
      </c>
      <c r="G964" s="2" t="str">
        <f>IF(_xlfn.XLOOKUP(C964,customers!$A$1:$A$1001,customers!$C$1:$C$1001,,0)=0,"",_xlfn.XLOOKUP(C964,customers!$A$1:$A$1001,customers!$C$1:$C$1001,,0))</f>
        <v>mrocksqq@exblog.jp</v>
      </c>
      <c r="H964" s="2" t="str">
        <f>_xlfn.XLOOKUP(C964,customers!$A$1:$A$1001,customers!$G$1:$G$1001,,0)</f>
        <v>Ireland</v>
      </c>
      <c r="I964" t="str">
        <f>INDEX(products!$A$1:$G$49,MATCH($D964,products!$A$1:$A$49,0),MATCH(I$1,products!$A$1:$G$1,0))</f>
        <v>Rob</v>
      </c>
      <c r="J964" t="str">
        <f>INDEX(products!$A$1:$G$49,MATCH($D964,products!$A$1:$A$49,0),MATCH(J$1,products!$A$1:$G$1,0))</f>
        <v>D</v>
      </c>
      <c r="K964" s="4">
        <f>INDEX(products!$A$1:$G$49,MATCH($D964,products!$A$1:$A$49,0),MATCH(K$1,products!$A$1:$G$1,0))</f>
        <v>1</v>
      </c>
      <c r="L964" s="5">
        <f>INDEX(products!$A$1:$G$49,MATCH($D964,products!$A$1:$A$49,0),MATCH(L$1,products!$A$1:$G$1,0))</f>
        <v>8.9499999999999993</v>
      </c>
      <c r="M964" s="5">
        <f t="shared" si="46"/>
        <v>8.9499999999999993</v>
      </c>
      <c r="N964" t="str">
        <f t="shared" si="45"/>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INDEX(products!$A$1:$G$49,MATCH($D965,products!$A$1:$A$49,0),MATCH(I$1,products!$A$1:$G$1,0))</f>
        <v>Rob</v>
      </c>
      <c r="J965" t="str">
        <f>INDEX(products!$A$1:$G$49,MATCH($D965,products!$A$1:$A$49,0),MATCH(J$1,products!$A$1:$G$1,0))</f>
        <v>M</v>
      </c>
      <c r="K965" s="4">
        <f>INDEX(products!$A$1:$G$49,MATCH($D965,products!$A$1:$A$49,0),MATCH(K$1,products!$A$1:$G$1,0))</f>
        <v>0.5</v>
      </c>
      <c r="L965" s="5">
        <f>INDEX(products!$A$1:$G$49,MATCH($D965,products!$A$1:$A$49,0),MATCH(L$1,products!$A$1:$G$1,0))</f>
        <v>5.97</v>
      </c>
      <c r="M965" s="5">
        <f t="shared" si="46"/>
        <v>23.88</v>
      </c>
      <c r="N965" t="str">
        <f t="shared" si="45"/>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INDEX(products!$A$1:$G$49,MATCH($D966,products!$A$1:$A$49,0),MATCH(I$1,products!$A$1:$G$1,0))</f>
        <v>Exc</v>
      </c>
      <c r="J966" t="str">
        <f>INDEX(products!$A$1:$G$49,MATCH($D966,products!$A$1:$A$49,0),MATCH(J$1,products!$A$1:$G$1,0))</f>
        <v>L</v>
      </c>
      <c r="K966" s="4">
        <f>INDEX(products!$A$1:$G$49,MATCH($D966,products!$A$1:$A$49,0),MATCH(K$1,products!$A$1:$G$1,0))</f>
        <v>0.2</v>
      </c>
      <c r="L966" s="5">
        <f>INDEX(products!$A$1:$G$49,MATCH($D966,products!$A$1:$A$49,0),MATCH(L$1,products!$A$1:$G$1,0))</f>
        <v>4.4550000000000001</v>
      </c>
      <c r="M966" s="5">
        <f t="shared" si="46"/>
        <v>22.274999999999999</v>
      </c>
      <c r="N966" t="str">
        <f t="shared" si="45"/>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INDEX(products!$A$1:$G$49,MATCH($D967,products!$A$1:$A$49,0),MATCH(I$1,products!$A$1:$G$1,0))</f>
        <v>Rob</v>
      </c>
      <c r="J967" t="str">
        <f>INDEX(products!$A$1:$G$49,MATCH($D967,products!$A$1:$A$49,0),MATCH(J$1,products!$A$1:$G$1,0))</f>
        <v>M</v>
      </c>
      <c r="K967" s="4">
        <f>INDEX(products!$A$1:$G$49,MATCH($D967,products!$A$1:$A$49,0),MATCH(K$1,products!$A$1:$G$1,0))</f>
        <v>1</v>
      </c>
      <c r="L967" s="5">
        <f>INDEX(products!$A$1:$G$49,MATCH($D967,products!$A$1:$A$49,0),MATCH(L$1,products!$A$1:$G$1,0))</f>
        <v>9.9499999999999993</v>
      </c>
      <c r="M967" s="5">
        <f t="shared" si="46"/>
        <v>29.849999999999998</v>
      </c>
      <c r="N967" t="str">
        <f t="shared" ref="N967:N1001" si="48">IF(I967="Rob","Robusta",IF(I967="Ara","Arabica",IF(I967="Exc","Excelsa",IF(I967="Lib","Liberica",""))))</f>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INDEX(products!$A$1:$G$49,MATCH($D968,products!$A$1:$A$49,0),MATCH(I$1,products!$A$1:$G$1,0))</f>
        <v>Exc</v>
      </c>
      <c r="J968" t="str">
        <f>INDEX(products!$A$1:$G$49,MATCH($D968,products!$A$1:$A$49,0),MATCH(J$1,products!$A$1:$G$1,0))</f>
        <v>L</v>
      </c>
      <c r="K968" s="4">
        <f>INDEX(products!$A$1:$G$49,MATCH($D968,products!$A$1:$A$49,0),MATCH(K$1,products!$A$1:$G$1,0))</f>
        <v>0.5</v>
      </c>
      <c r="L968" s="5">
        <f>INDEX(products!$A$1:$G$49,MATCH($D968,products!$A$1:$A$49,0),MATCH(L$1,products!$A$1:$G$1,0))</f>
        <v>8.91</v>
      </c>
      <c r="M968" s="5">
        <f t="shared" si="46"/>
        <v>53.46</v>
      </c>
      <c r="N968" t="str">
        <f t="shared" si="48"/>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INDEX(products!$A$1:$G$49,MATCH($D969,products!$A$1:$A$49,0),MATCH(I$1,products!$A$1:$G$1,0))</f>
        <v>Rob</v>
      </c>
      <c r="J969" t="str">
        <f>INDEX(products!$A$1:$G$49,MATCH($D969,products!$A$1:$A$49,0),MATCH(J$1,products!$A$1:$G$1,0))</f>
        <v>D</v>
      </c>
      <c r="K969" s="4">
        <f>INDEX(products!$A$1:$G$49,MATCH($D969,products!$A$1:$A$49,0),MATCH(K$1,products!$A$1:$G$1,0))</f>
        <v>0.2</v>
      </c>
      <c r="L969" s="5">
        <f>INDEX(products!$A$1:$G$49,MATCH($D969,products!$A$1:$A$49,0),MATCH(L$1,products!$A$1:$G$1,0))</f>
        <v>2.6849999999999996</v>
      </c>
      <c r="M969" s="5">
        <f t="shared" si="46"/>
        <v>2.6849999999999996</v>
      </c>
      <c r="N969" t="str">
        <f t="shared" si="48"/>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INDEX(products!$A$1:$G$49,MATCH($D970,products!$A$1:$A$49,0),MATCH(I$1,products!$A$1:$G$1,0))</f>
        <v>Rob</v>
      </c>
      <c r="J970" t="str">
        <f>INDEX(products!$A$1:$G$49,MATCH($D970,products!$A$1:$A$49,0),MATCH(J$1,products!$A$1:$G$1,0))</f>
        <v>M</v>
      </c>
      <c r="K970" s="4">
        <f>INDEX(products!$A$1:$G$49,MATCH($D970,products!$A$1:$A$49,0),MATCH(K$1,products!$A$1:$G$1,0))</f>
        <v>0.2</v>
      </c>
      <c r="L970" s="5">
        <f>INDEX(products!$A$1:$G$49,MATCH($D970,products!$A$1:$A$49,0),MATCH(L$1,products!$A$1:$G$1,0))</f>
        <v>2.9849999999999999</v>
      </c>
      <c r="M970" s="5">
        <f t="shared" si="46"/>
        <v>5.97</v>
      </c>
      <c r="N970" t="str">
        <f t="shared" si="48"/>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INDEX(products!$A$1:$G$49,MATCH($D971,products!$A$1:$A$49,0),MATCH(I$1,products!$A$1:$G$1,0))</f>
        <v>Lib</v>
      </c>
      <c r="J971" t="str">
        <f>INDEX(products!$A$1:$G$49,MATCH($D971,products!$A$1:$A$49,0),MATCH(J$1,products!$A$1:$G$1,0))</f>
        <v>D</v>
      </c>
      <c r="K971" s="4">
        <f>INDEX(products!$A$1:$G$49,MATCH($D971,products!$A$1:$A$49,0),MATCH(K$1,products!$A$1:$G$1,0))</f>
        <v>1</v>
      </c>
      <c r="L971" s="5">
        <f>INDEX(products!$A$1:$G$49,MATCH($D971,products!$A$1:$A$49,0),MATCH(L$1,products!$A$1:$G$1,0))</f>
        <v>12.95</v>
      </c>
      <c r="M971" s="5">
        <f t="shared" si="46"/>
        <v>12.95</v>
      </c>
      <c r="N971" t="str">
        <f t="shared" si="48"/>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f>
        <v>Sharl Southerill</v>
      </c>
      <c r="G972" s="2" t="str">
        <f>IF(_xlfn.XLOOKUP(C972,customers!$A$1:$A$1001,customers!$C$1:$C$1001,,0)=0,"",_xlfn.XLOOKUP(C972,customers!$A$1:$A$1001,customers!$C$1:$C$1001,,0))</f>
        <v/>
      </c>
      <c r="H972" s="2" t="str">
        <f>_xlfn.XLOOKUP(C972,customers!$A$1:$A$1001,customers!$G$1:$G$1001,,0)</f>
        <v>United States</v>
      </c>
      <c r="I972" t="str">
        <f>INDEX(products!$A$1:$G$49,MATCH($D972,products!$A$1:$A$49,0),MATCH(I$1,products!$A$1:$G$1,0))</f>
        <v>Exc</v>
      </c>
      <c r="J972" t="str">
        <f>INDEX(products!$A$1:$G$49,MATCH($D972,products!$A$1:$A$49,0),MATCH(J$1,products!$A$1:$G$1,0))</f>
        <v>M</v>
      </c>
      <c r="K972" s="4">
        <f>INDEX(products!$A$1:$G$49,MATCH($D972,products!$A$1:$A$49,0),MATCH(K$1,products!$A$1:$G$1,0))</f>
        <v>0.5</v>
      </c>
      <c r="L972" s="5">
        <f>INDEX(products!$A$1:$G$49,MATCH($D972,products!$A$1:$A$49,0),MATCH(L$1,products!$A$1:$G$1,0))</f>
        <v>8.25</v>
      </c>
      <c r="M972" s="5">
        <f t="shared" si="46"/>
        <v>8.25</v>
      </c>
      <c r="N972" t="str">
        <f t="shared" si="48"/>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INDEX(products!$A$1:$G$49,MATCH($D973,products!$A$1:$A$49,0),MATCH(I$1,products!$A$1:$G$1,0))</f>
        <v>Ara</v>
      </c>
      <c r="J973" t="str">
        <f>INDEX(products!$A$1:$G$49,MATCH($D973,products!$A$1:$A$49,0),MATCH(J$1,products!$A$1:$G$1,0))</f>
        <v>L</v>
      </c>
      <c r="K973" s="4">
        <f>INDEX(products!$A$1:$G$49,MATCH($D973,products!$A$1:$A$49,0),MATCH(K$1,products!$A$1:$G$1,0))</f>
        <v>2.5</v>
      </c>
      <c r="L973" s="5">
        <f>INDEX(products!$A$1:$G$49,MATCH($D973,products!$A$1:$A$49,0),MATCH(L$1,products!$A$1:$G$1,0))</f>
        <v>29.784999999999997</v>
      </c>
      <c r="M973" s="5">
        <f t="shared" si="46"/>
        <v>148.92499999999998</v>
      </c>
      <c r="N973" t="str">
        <f t="shared" si="48"/>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f>
        <v>Dinah Crutcher</v>
      </c>
      <c r="G974" s="2" t="str">
        <f>IF(_xlfn.XLOOKUP(C974,customers!$A$1:$A$1001,customers!$C$1:$C$1001,,0)=0,"",_xlfn.XLOOKUP(C974,customers!$A$1:$A$1001,customers!$C$1:$C$1001,,0))</f>
        <v/>
      </c>
      <c r="H974" s="2" t="str">
        <f>_xlfn.XLOOKUP(C974,customers!$A$1:$A$1001,customers!$G$1:$G$1001,,0)</f>
        <v>Ireland</v>
      </c>
      <c r="I974" t="str">
        <f>INDEX(products!$A$1:$G$49,MATCH($D974,products!$A$1:$A$49,0),MATCH(I$1,products!$A$1:$G$1,0))</f>
        <v>Ara</v>
      </c>
      <c r="J974" t="str">
        <f>INDEX(products!$A$1:$G$49,MATCH($D974,products!$A$1:$A$49,0),MATCH(J$1,products!$A$1:$G$1,0))</f>
        <v>L</v>
      </c>
      <c r="K974" s="4">
        <f>INDEX(products!$A$1:$G$49,MATCH($D974,products!$A$1:$A$49,0),MATCH(K$1,products!$A$1:$G$1,0))</f>
        <v>2.5</v>
      </c>
      <c r="L974" s="5">
        <f>INDEX(products!$A$1:$G$49,MATCH($D974,products!$A$1:$A$49,0),MATCH(L$1,products!$A$1:$G$1,0))</f>
        <v>29.784999999999997</v>
      </c>
      <c r="M974" s="5">
        <f t="shared" si="46"/>
        <v>89.35499999999999</v>
      </c>
      <c r="N974" t="str">
        <f t="shared" si="48"/>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INDEX(products!$A$1:$G$49,MATCH($D975,products!$A$1:$A$49,0),MATCH(I$1,products!$A$1:$G$1,0))</f>
        <v>Lib</v>
      </c>
      <c r="J975" t="str">
        <f>INDEX(products!$A$1:$G$49,MATCH($D975,products!$A$1:$A$49,0),MATCH(J$1,products!$A$1:$G$1,0))</f>
        <v>M</v>
      </c>
      <c r="K975" s="4">
        <f>INDEX(products!$A$1:$G$49,MATCH($D975,products!$A$1:$A$49,0),MATCH(K$1,products!$A$1:$G$1,0))</f>
        <v>1</v>
      </c>
      <c r="L975" s="5">
        <f>INDEX(products!$A$1:$G$49,MATCH($D975,products!$A$1:$A$49,0),MATCH(L$1,products!$A$1:$G$1,0))</f>
        <v>14.55</v>
      </c>
      <c r="M975" s="5">
        <f t="shared" si="46"/>
        <v>87.300000000000011</v>
      </c>
      <c r="N975" t="str">
        <f t="shared" si="48"/>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INDEX(products!$A$1:$G$49,MATCH($D976,products!$A$1:$A$49,0),MATCH(I$1,products!$A$1:$G$1,0))</f>
        <v>Rob</v>
      </c>
      <c r="J976" t="str">
        <f>INDEX(products!$A$1:$G$49,MATCH($D976,products!$A$1:$A$49,0),MATCH(J$1,products!$A$1:$G$1,0))</f>
        <v>D</v>
      </c>
      <c r="K976" s="4">
        <f>INDEX(products!$A$1:$G$49,MATCH($D976,products!$A$1:$A$49,0),MATCH(K$1,products!$A$1:$G$1,0))</f>
        <v>0.5</v>
      </c>
      <c r="L976" s="5">
        <f>INDEX(products!$A$1:$G$49,MATCH($D976,products!$A$1:$A$49,0),MATCH(L$1,products!$A$1:$G$1,0))</f>
        <v>5.3699999999999992</v>
      </c>
      <c r="M976" s="5">
        <f t="shared" si="46"/>
        <v>5.3699999999999992</v>
      </c>
      <c r="N976" t="str">
        <f t="shared" si="48"/>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INDEX(products!$A$1:$G$49,MATCH($D977,products!$A$1:$A$49,0),MATCH(I$1,products!$A$1:$G$1,0))</f>
        <v>Ara</v>
      </c>
      <c r="J977" t="str">
        <f>INDEX(products!$A$1:$G$49,MATCH($D977,products!$A$1:$A$49,0),MATCH(J$1,products!$A$1:$G$1,0))</f>
        <v>D</v>
      </c>
      <c r="K977" s="4">
        <f>INDEX(products!$A$1:$G$49,MATCH($D977,products!$A$1:$A$49,0),MATCH(K$1,products!$A$1:$G$1,0))</f>
        <v>0.2</v>
      </c>
      <c r="L977" s="5">
        <f>INDEX(products!$A$1:$G$49,MATCH($D977,products!$A$1:$A$49,0),MATCH(L$1,products!$A$1:$G$1,0))</f>
        <v>2.9849999999999999</v>
      </c>
      <c r="M977" s="5">
        <f t="shared" si="46"/>
        <v>8.9550000000000001</v>
      </c>
      <c r="N977" t="str">
        <f t="shared" si="48"/>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INDEX(products!$A$1:$G$49,MATCH($D978,products!$A$1:$A$49,0),MATCH(I$1,products!$A$1:$G$1,0))</f>
        <v>Rob</v>
      </c>
      <c r="J978" t="str">
        <f>INDEX(products!$A$1:$G$49,MATCH($D978,products!$A$1:$A$49,0),MATCH(J$1,products!$A$1:$G$1,0))</f>
        <v>L</v>
      </c>
      <c r="K978" s="4">
        <f>INDEX(products!$A$1:$G$49,MATCH($D978,products!$A$1:$A$49,0),MATCH(K$1,products!$A$1:$G$1,0))</f>
        <v>2.5</v>
      </c>
      <c r="L978" s="5">
        <f>INDEX(products!$A$1:$G$49,MATCH($D978,products!$A$1:$A$49,0),MATCH(L$1,products!$A$1:$G$1,0))</f>
        <v>27.484999999999996</v>
      </c>
      <c r="M978" s="5">
        <f t="shared" si="46"/>
        <v>137.42499999999998</v>
      </c>
      <c r="N978" t="str">
        <f t="shared" si="48"/>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INDEX(products!$A$1:$G$49,MATCH($D979,products!$A$1:$A$49,0),MATCH(I$1,products!$A$1:$G$1,0))</f>
        <v>Rob</v>
      </c>
      <c r="J979" t="str">
        <f>INDEX(products!$A$1:$G$49,MATCH($D979,products!$A$1:$A$49,0),MATCH(J$1,products!$A$1:$G$1,0))</f>
        <v>L</v>
      </c>
      <c r="K979" s="4">
        <f>INDEX(products!$A$1:$G$49,MATCH($D979,products!$A$1:$A$49,0),MATCH(K$1,products!$A$1:$G$1,0))</f>
        <v>1</v>
      </c>
      <c r="L979" s="5">
        <f>INDEX(products!$A$1:$G$49,MATCH($D979,products!$A$1:$A$49,0),MATCH(L$1,products!$A$1:$G$1,0))</f>
        <v>11.95</v>
      </c>
      <c r="M979" s="5">
        <f t="shared" si="46"/>
        <v>59.75</v>
      </c>
      <c r="N979" t="str">
        <f t="shared" si="48"/>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INDEX(products!$A$1:$G$49,MATCH($D980,products!$A$1:$A$49,0),MATCH(I$1,products!$A$1:$G$1,0))</f>
        <v>Ara</v>
      </c>
      <c r="J980" t="str">
        <f>INDEX(products!$A$1:$G$49,MATCH($D980,products!$A$1:$A$49,0),MATCH(J$1,products!$A$1:$G$1,0))</f>
        <v>L</v>
      </c>
      <c r="K980" s="4">
        <f>INDEX(products!$A$1:$G$49,MATCH($D980,products!$A$1:$A$49,0),MATCH(K$1,products!$A$1:$G$1,0))</f>
        <v>0.5</v>
      </c>
      <c r="L980" s="5">
        <f>INDEX(products!$A$1:$G$49,MATCH($D980,products!$A$1:$A$49,0),MATCH(L$1,products!$A$1:$G$1,0))</f>
        <v>7.77</v>
      </c>
      <c r="M980" s="5">
        <f t="shared" si="46"/>
        <v>23.31</v>
      </c>
      <c r="N980" t="str">
        <f t="shared" si="48"/>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f>
        <v>Javier Causnett</v>
      </c>
      <c r="G981" s="2" t="str">
        <f>IF(_xlfn.XLOOKUP(C981,customers!$A$1:$A$1001,customers!$C$1:$C$1001,,0)=0,"",_xlfn.XLOOKUP(C981,customers!$A$1:$A$1001,customers!$C$1:$C$1001,,0))</f>
        <v/>
      </c>
      <c r="H981" s="2" t="str">
        <f>_xlfn.XLOOKUP(C981,customers!$A$1:$A$1001,customers!$G$1:$G$1001,,0)</f>
        <v>United States</v>
      </c>
      <c r="I981" t="str">
        <f>INDEX(products!$A$1:$G$49,MATCH($D981,products!$A$1:$A$49,0),MATCH(I$1,products!$A$1:$G$1,0))</f>
        <v>Rob</v>
      </c>
      <c r="J981" t="str">
        <f>INDEX(products!$A$1:$G$49,MATCH($D981,products!$A$1:$A$49,0),MATCH(J$1,products!$A$1:$G$1,0))</f>
        <v>D</v>
      </c>
      <c r="K981" s="4">
        <f>INDEX(products!$A$1:$G$49,MATCH($D981,products!$A$1:$A$49,0),MATCH(K$1,products!$A$1:$G$1,0))</f>
        <v>0.5</v>
      </c>
      <c r="L981" s="5">
        <f>INDEX(products!$A$1:$G$49,MATCH($D981,products!$A$1:$A$49,0),MATCH(L$1,products!$A$1:$G$1,0))</f>
        <v>5.3699999999999992</v>
      </c>
      <c r="M981" s="5">
        <f t="shared" si="46"/>
        <v>10.739999999999998</v>
      </c>
      <c r="N981" t="str">
        <f t="shared" si="48"/>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f>
        <v>Demetris Micheli</v>
      </c>
      <c r="G982" s="2" t="str">
        <f>IF(_xlfn.XLOOKUP(C982,customers!$A$1:$A$1001,customers!$C$1:$C$1001,,0)=0,"",_xlfn.XLOOKUP(C982,customers!$A$1:$A$1001,customers!$C$1:$C$1001,,0))</f>
        <v/>
      </c>
      <c r="H982" s="2" t="str">
        <f>_xlfn.XLOOKUP(C982,customers!$A$1:$A$1001,customers!$G$1:$G$1001,,0)</f>
        <v>United States</v>
      </c>
      <c r="I982" t="str">
        <f>INDEX(products!$A$1:$G$49,MATCH($D982,products!$A$1:$A$49,0),MATCH(I$1,products!$A$1:$G$1,0))</f>
        <v>Exc</v>
      </c>
      <c r="J982" t="str">
        <f>INDEX(products!$A$1:$G$49,MATCH($D982,products!$A$1:$A$49,0),MATCH(J$1,products!$A$1:$G$1,0))</f>
        <v>D</v>
      </c>
      <c r="K982" s="4">
        <f>INDEX(products!$A$1:$G$49,MATCH($D982,products!$A$1:$A$49,0),MATCH(K$1,products!$A$1:$G$1,0))</f>
        <v>2.5</v>
      </c>
      <c r="L982" s="5">
        <f>INDEX(products!$A$1:$G$49,MATCH($D982,products!$A$1:$A$49,0),MATCH(L$1,products!$A$1:$G$1,0))</f>
        <v>27.945</v>
      </c>
      <c r="M982" s="5">
        <f t="shared" si="46"/>
        <v>167.67000000000002</v>
      </c>
      <c r="N982" t="str">
        <f t="shared" si="48"/>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INDEX(products!$A$1:$G$49,MATCH($D983,products!$A$1:$A$49,0),MATCH(I$1,products!$A$1:$G$1,0))</f>
        <v>Exc</v>
      </c>
      <c r="J983" t="str">
        <f>INDEX(products!$A$1:$G$49,MATCH($D983,products!$A$1:$A$49,0),MATCH(J$1,products!$A$1:$G$1,0))</f>
        <v>D</v>
      </c>
      <c r="K983" s="4">
        <f>INDEX(products!$A$1:$G$49,MATCH($D983,products!$A$1:$A$49,0),MATCH(K$1,products!$A$1:$G$1,0))</f>
        <v>0.2</v>
      </c>
      <c r="L983" s="5">
        <f>INDEX(products!$A$1:$G$49,MATCH($D983,products!$A$1:$A$49,0),MATCH(L$1,products!$A$1:$G$1,0))</f>
        <v>3.645</v>
      </c>
      <c r="M983" s="5">
        <f t="shared" si="46"/>
        <v>21.87</v>
      </c>
      <c r="N983" t="str">
        <f t="shared" si="48"/>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f>
        <v>Kim Kemery</v>
      </c>
      <c r="G984" s="2" t="str">
        <f>IF(_xlfn.XLOOKUP(C984,customers!$A$1:$A$1001,customers!$C$1:$C$1001,,0)=0,"",_xlfn.XLOOKUP(C984,customers!$A$1:$A$1001,customers!$C$1:$C$1001,,0))</f>
        <v>kkemeryra@t.co</v>
      </c>
      <c r="H984" s="2" t="str">
        <f>_xlfn.XLOOKUP(C984,customers!$A$1:$A$1001,customers!$G$1:$G$1001,,0)</f>
        <v>United States</v>
      </c>
      <c r="I984" t="str">
        <f>INDEX(products!$A$1:$G$49,MATCH($D984,products!$A$1:$A$49,0),MATCH(I$1,products!$A$1:$G$1,0))</f>
        <v>Rob</v>
      </c>
      <c r="J984" t="str">
        <f>INDEX(products!$A$1:$G$49,MATCH($D984,products!$A$1:$A$49,0),MATCH(J$1,products!$A$1:$G$1,0))</f>
        <v>L</v>
      </c>
      <c r="K984" s="4">
        <f>INDEX(products!$A$1:$G$49,MATCH($D984,products!$A$1:$A$49,0),MATCH(K$1,products!$A$1:$G$1,0))</f>
        <v>1</v>
      </c>
      <c r="L984" s="5">
        <f>INDEX(products!$A$1:$G$49,MATCH($D984,products!$A$1:$A$49,0),MATCH(L$1,products!$A$1:$G$1,0))</f>
        <v>11.95</v>
      </c>
      <c r="M984" s="5">
        <f t="shared" si="46"/>
        <v>23.9</v>
      </c>
      <c r="N984" t="str">
        <f t="shared" si="48"/>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INDEX(products!$A$1:$G$49,MATCH($D985,products!$A$1:$A$49,0),MATCH(I$1,products!$A$1:$G$1,0))</f>
        <v>Ara</v>
      </c>
      <c r="J985" t="str">
        <f>INDEX(products!$A$1:$G$49,MATCH($D985,products!$A$1:$A$49,0),MATCH(J$1,products!$A$1:$G$1,0))</f>
        <v>M</v>
      </c>
      <c r="K985" s="4">
        <f>INDEX(products!$A$1:$G$49,MATCH($D985,products!$A$1:$A$49,0),MATCH(K$1,products!$A$1:$G$1,0))</f>
        <v>0.2</v>
      </c>
      <c r="L985" s="5">
        <f>INDEX(products!$A$1:$G$49,MATCH($D985,products!$A$1:$A$49,0),MATCH(L$1,products!$A$1:$G$1,0))</f>
        <v>3.375</v>
      </c>
      <c r="M985" s="5">
        <f t="shared" si="46"/>
        <v>6.75</v>
      </c>
      <c r="N985" t="str">
        <f t="shared" si="48"/>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INDEX(products!$A$1:$G$49,MATCH($D986,products!$A$1:$A$49,0),MATCH(I$1,products!$A$1:$G$1,0))</f>
        <v>Exc</v>
      </c>
      <c r="J986" t="str">
        <f>INDEX(products!$A$1:$G$49,MATCH($D986,products!$A$1:$A$49,0),MATCH(J$1,products!$A$1:$G$1,0))</f>
        <v>M</v>
      </c>
      <c r="K986" s="4">
        <f>INDEX(products!$A$1:$G$49,MATCH($D986,products!$A$1:$A$49,0),MATCH(K$1,products!$A$1:$G$1,0))</f>
        <v>2.5</v>
      </c>
      <c r="L986" s="5">
        <f>INDEX(products!$A$1:$G$49,MATCH($D986,products!$A$1:$A$49,0),MATCH(L$1,products!$A$1:$G$1,0))</f>
        <v>31.624999999999996</v>
      </c>
      <c r="M986" s="5">
        <f t="shared" si="46"/>
        <v>31.624999999999996</v>
      </c>
      <c r="N986" t="str">
        <f t="shared" si="48"/>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INDEX(products!$A$1:$G$49,MATCH($D987,products!$A$1:$A$49,0),MATCH(I$1,products!$A$1:$G$1,0))</f>
        <v>Rob</v>
      </c>
      <c r="J987" t="str">
        <f>INDEX(products!$A$1:$G$49,MATCH($D987,products!$A$1:$A$49,0),MATCH(J$1,products!$A$1:$G$1,0))</f>
        <v>L</v>
      </c>
      <c r="K987" s="4">
        <f>INDEX(products!$A$1:$G$49,MATCH($D987,products!$A$1:$A$49,0),MATCH(K$1,products!$A$1:$G$1,0))</f>
        <v>1</v>
      </c>
      <c r="L987" s="5">
        <f>INDEX(products!$A$1:$G$49,MATCH($D987,products!$A$1:$A$49,0),MATCH(L$1,products!$A$1:$G$1,0))</f>
        <v>11.95</v>
      </c>
      <c r="M987" s="5">
        <f t="shared" si="46"/>
        <v>47.8</v>
      </c>
      <c r="N987" t="str">
        <f t="shared" si="48"/>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INDEX(products!$A$1:$G$49,MATCH($D988,products!$A$1:$A$49,0),MATCH(I$1,products!$A$1:$G$1,0))</f>
        <v>Lib</v>
      </c>
      <c r="J988" t="str">
        <f>INDEX(products!$A$1:$G$49,MATCH($D988,products!$A$1:$A$49,0),MATCH(J$1,products!$A$1:$G$1,0))</f>
        <v>M</v>
      </c>
      <c r="K988" s="4">
        <f>INDEX(products!$A$1:$G$49,MATCH($D988,products!$A$1:$A$49,0),MATCH(K$1,products!$A$1:$G$1,0))</f>
        <v>2.5</v>
      </c>
      <c r="L988" s="5">
        <f>INDEX(products!$A$1:$G$49,MATCH($D988,products!$A$1:$A$49,0),MATCH(L$1,products!$A$1:$G$1,0))</f>
        <v>33.464999999999996</v>
      </c>
      <c r="M988" s="5">
        <f t="shared" si="46"/>
        <v>33.464999999999996</v>
      </c>
      <c r="N988" t="str">
        <f t="shared" si="48"/>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INDEX(products!$A$1:$G$49,MATCH($D989,products!$A$1:$A$49,0),MATCH(I$1,products!$A$1:$G$1,0))</f>
        <v>Ara</v>
      </c>
      <c r="J989" t="str">
        <f>INDEX(products!$A$1:$G$49,MATCH($D989,products!$A$1:$A$49,0),MATCH(J$1,products!$A$1:$G$1,0))</f>
        <v>D</v>
      </c>
      <c r="K989" s="4">
        <f>INDEX(products!$A$1:$G$49,MATCH($D989,products!$A$1:$A$49,0),MATCH(K$1,products!$A$1:$G$1,0))</f>
        <v>0.5</v>
      </c>
      <c r="L989" s="5">
        <f>INDEX(products!$A$1:$G$49,MATCH($D989,products!$A$1:$A$49,0),MATCH(L$1,products!$A$1:$G$1,0))</f>
        <v>5.97</v>
      </c>
      <c r="M989" s="5">
        <f t="shared" si="46"/>
        <v>29.849999999999998</v>
      </c>
      <c r="N989" t="str">
        <f t="shared" si="48"/>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f>
        <v>Adele McFayden</v>
      </c>
      <c r="G990" s="2" t="str">
        <f>IF(_xlfn.XLOOKUP(C990,customers!$A$1:$A$1001,customers!$C$1:$C$1001,,0)=0,"",_xlfn.XLOOKUP(C990,customers!$A$1:$A$1001,customers!$C$1:$C$1001,,0))</f>
        <v/>
      </c>
      <c r="H990" s="2" t="str">
        <f>_xlfn.XLOOKUP(C990,customers!$A$1:$A$1001,customers!$G$1:$G$1001,,0)</f>
        <v>United Kingdom</v>
      </c>
      <c r="I990" t="str">
        <f>INDEX(products!$A$1:$G$49,MATCH($D990,products!$A$1:$A$49,0),MATCH(I$1,products!$A$1:$G$1,0))</f>
        <v>Rob</v>
      </c>
      <c r="J990" t="str">
        <f>INDEX(products!$A$1:$G$49,MATCH($D990,products!$A$1:$A$49,0),MATCH(J$1,products!$A$1:$G$1,0))</f>
        <v>M</v>
      </c>
      <c r="K990" s="4">
        <f>INDEX(products!$A$1:$G$49,MATCH($D990,products!$A$1:$A$49,0),MATCH(K$1,products!$A$1:$G$1,0))</f>
        <v>1</v>
      </c>
      <c r="L990" s="5">
        <f>INDEX(products!$A$1:$G$49,MATCH($D990,products!$A$1:$A$49,0),MATCH(L$1,products!$A$1:$G$1,0))</f>
        <v>9.9499999999999993</v>
      </c>
      <c r="M990" s="5">
        <f t="shared" si="46"/>
        <v>29.849999999999998</v>
      </c>
      <c r="N990" t="str">
        <f t="shared" si="48"/>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f>
        <v>Herta Layne</v>
      </c>
      <c r="G991" s="2" t="str">
        <f>IF(_xlfn.XLOOKUP(C991,customers!$A$1:$A$1001,customers!$C$1:$C$1001,,0)=0,"",_xlfn.XLOOKUP(C991,customers!$A$1:$A$1001,customers!$C$1:$C$1001,,0))</f>
        <v/>
      </c>
      <c r="H991" s="2" t="str">
        <f>_xlfn.XLOOKUP(C991,customers!$A$1:$A$1001,customers!$G$1:$G$1001,,0)</f>
        <v>United States</v>
      </c>
      <c r="I991" t="str">
        <f>INDEX(products!$A$1:$G$49,MATCH($D991,products!$A$1:$A$49,0),MATCH(I$1,products!$A$1:$G$1,0))</f>
        <v>Ara</v>
      </c>
      <c r="J991" t="str">
        <f>INDEX(products!$A$1:$G$49,MATCH($D991,products!$A$1:$A$49,0),MATCH(J$1,products!$A$1:$G$1,0))</f>
        <v>M</v>
      </c>
      <c r="K991" s="4">
        <f>INDEX(products!$A$1:$G$49,MATCH($D991,products!$A$1:$A$49,0),MATCH(K$1,products!$A$1:$G$1,0))</f>
        <v>2.5</v>
      </c>
      <c r="L991" s="5">
        <f>INDEX(products!$A$1:$G$49,MATCH($D991,products!$A$1:$A$49,0),MATCH(L$1,products!$A$1:$G$1,0))</f>
        <v>25.874999999999996</v>
      </c>
      <c r="M991" s="5">
        <f t="shared" si="46"/>
        <v>155.24999999999997</v>
      </c>
      <c r="N991" t="str">
        <f t="shared" si="48"/>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f>
        <v>Marguerite Graves</v>
      </c>
      <c r="G992" s="2" t="str">
        <f>IF(_xlfn.XLOOKUP(C992,customers!$A$1:$A$1001,customers!$C$1:$C$1001,,0)=0,"",_xlfn.XLOOKUP(C992,customers!$A$1:$A$1001,customers!$C$1:$C$1001,,0))</f>
        <v/>
      </c>
      <c r="H992" s="2" t="str">
        <f>_xlfn.XLOOKUP(C992,customers!$A$1:$A$1001,customers!$G$1:$G$1001,,0)</f>
        <v>United States</v>
      </c>
      <c r="I992" t="str">
        <f>INDEX(products!$A$1:$G$49,MATCH($D992,products!$A$1:$A$49,0),MATCH(I$1,products!$A$1:$G$1,0))</f>
        <v>Exc</v>
      </c>
      <c r="J992" t="str">
        <f>INDEX(products!$A$1:$G$49,MATCH($D992,products!$A$1:$A$49,0),MATCH(J$1,products!$A$1:$G$1,0))</f>
        <v>D</v>
      </c>
      <c r="K992" s="4">
        <f>INDEX(products!$A$1:$G$49,MATCH($D992,products!$A$1:$A$49,0),MATCH(K$1,products!$A$1:$G$1,0))</f>
        <v>0.2</v>
      </c>
      <c r="L992" s="5">
        <f>INDEX(products!$A$1:$G$49,MATCH($D992,products!$A$1:$A$49,0),MATCH(L$1,products!$A$1:$G$1,0))</f>
        <v>3.645</v>
      </c>
      <c r="M992" s="5">
        <f t="shared" si="46"/>
        <v>18.225000000000001</v>
      </c>
      <c r="N992" t="str">
        <f t="shared" si="48"/>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f>
        <v>Marguerite Graves</v>
      </c>
      <c r="G993" s="2" t="str">
        <f>IF(_xlfn.XLOOKUP(C993,customers!$A$1:$A$1001,customers!$C$1:$C$1001,,0)=0,"",_xlfn.XLOOKUP(C993,customers!$A$1:$A$1001,customers!$C$1:$C$1001,,0))</f>
        <v/>
      </c>
      <c r="H993" s="2" t="str">
        <f>_xlfn.XLOOKUP(C993,customers!$A$1:$A$1001,customers!$G$1:$G$1001,,0)</f>
        <v>United States</v>
      </c>
      <c r="I993" t="str">
        <f>INDEX(products!$A$1:$G$49,MATCH($D993,products!$A$1:$A$49,0),MATCH(I$1,products!$A$1:$G$1,0))</f>
        <v>Lib</v>
      </c>
      <c r="J993" t="str">
        <f>INDEX(products!$A$1:$G$49,MATCH($D993,products!$A$1:$A$49,0),MATCH(J$1,products!$A$1:$G$1,0))</f>
        <v>D</v>
      </c>
      <c r="K993" s="4">
        <f>INDEX(products!$A$1:$G$49,MATCH($D993,products!$A$1:$A$49,0),MATCH(K$1,products!$A$1:$G$1,0))</f>
        <v>0.5</v>
      </c>
      <c r="L993" s="5">
        <f>INDEX(products!$A$1:$G$49,MATCH($D993,products!$A$1:$A$49,0),MATCH(L$1,products!$A$1:$G$1,0))</f>
        <v>7.77</v>
      </c>
      <c r="M993" s="5">
        <f t="shared" si="46"/>
        <v>15.54</v>
      </c>
      <c r="N993" t="str">
        <f t="shared" si="48"/>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f>
        <v>Desdemona Eye</v>
      </c>
      <c r="G994" s="2" t="str">
        <f>IF(_xlfn.XLOOKUP(C994,customers!$A$1:$A$1001,customers!$C$1:$C$1001,,0)=0,"",_xlfn.XLOOKUP(C994,customers!$A$1:$A$1001,customers!$C$1:$C$1001,,0))</f>
        <v/>
      </c>
      <c r="H994" s="2" t="str">
        <f>_xlfn.XLOOKUP(C994,customers!$A$1:$A$1001,customers!$G$1:$G$1001,,0)</f>
        <v>Ireland</v>
      </c>
      <c r="I994" t="str">
        <f>INDEX(products!$A$1:$G$49,MATCH($D994,products!$A$1:$A$49,0),MATCH(I$1,products!$A$1:$G$1,0))</f>
        <v>Lib</v>
      </c>
      <c r="J994" t="str">
        <f>INDEX(products!$A$1:$G$49,MATCH($D994,products!$A$1:$A$49,0),MATCH(J$1,products!$A$1:$G$1,0))</f>
        <v>L</v>
      </c>
      <c r="K994" s="4">
        <f>INDEX(products!$A$1:$G$49,MATCH($D994,products!$A$1:$A$49,0),MATCH(K$1,products!$A$1:$G$1,0))</f>
        <v>2.5</v>
      </c>
      <c r="L994" s="5">
        <f>INDEX(products!$A$1:$G$49,MATCH($D994,products!$A$1:$A$49,0),MATCH(L$1,products!$A$1:$G$1,0))</f>
        <v>36.454999999999998</v>
      </c>
      <c r="M994" s="5">
        <f t="shared" si="46"/>
        <v>109.36499999999999</v>
      </c>
      <c r="N994" t="str">
        <f t="shared" si="48"/>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f>
        <v>Margarette Sterland</v>
      </c>
      <c r="G995" s="2" t="str">
        <f>IF(_xlfn.XLOOKUP(C995,customers!$A$1:$A$1001,customers!$C$1:$C$1001,,0)=0,"",_xlfn.XLOOKUP(C995,customers!$A$1:$A$1001,customers!$C$1:$C$1001,,0))</f>
        <v/>
      </c>
      <c r="H995" s="2" t="str">
        <f>_xlfn.XLOOKUP(C995,customers!$A$1:$A$1001,customers!$G$1:$G$1001,,0)</f>
        <v>United States</v>
      </c>
      <c r="I995" t="str">
        <f>INDEX(products!$A$1:$G$49,MATCH($D995,products!$A$1:$A$49,0),MATCH(I$1,products!$A$1:$G$1,0))</f>
        <v>Ara</v>
      </c>
      <c r="J995" t="str">
        <f>INDEX(products!$A$1:$G$49,MATCH($D995,products!$A$1:$A$49,0),MATCH(J$1,products!$A$1:$G$1,0))</f>
        <v>L</v>
      </c>
      <c r="K995" s="4">
        <f>INDEX(products!$A$1:$G$49,MATCH($D995,products!$A$1:$A$49,0),MATCH(K$1,products!$A$1:$G$1,0))</f>
        <v>1</v>
      </c>
      <c r="L995" s="5">
        <f>INDEX(products!$A$1:$G$49,MATCH($D995,products!$A$1:$A$49,0),MATCH(L$1,products!$A$1:$G$1,0))</f>
        <v>12.95</v>
      </c>
      <c r="M995" s="5">
        <f t="shared" si="46"/>
        <v>77.699999999999989</v>
      </c>
      <c r="N995" t="str">
        <f t="shared" si="48"/>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f>
        <v>Catharine Scoines</v>
      </c>
      <c r="G996" s="2" t="str">
        <f>IF(_xlfn.XLOOKUP(C996,customers!$A$1:$A$1001,customers!$C$1:$C$1001,,0)=0,"",_xlfn.XLOOKUP(C996,customers!$A$1:$A$1001,customers!$C$1:$C$1001,,0))</f>
        <v/>
      </c>
      <c r="H996" s="2" t="str">
        <f>_xlfn.XLOOKUP(C996,customers!$A$1:$A$1001,customers!$G$1:$G$1001,,0)</f>
        <v>Ireland</v>
      </c>
      <c r="I996" t="str">
        <f>INDEX(products!$A$1:$G$49,MATCH($D996,products!$A$1:$A$49,0),MATCH(I$1,products!$A$1:$G$1,0))</f>
        <v>Ara</v>
      </c>
      <c r="J996" t="str">
        <f>INDEX(products!$A$1:$G$49,MATCH($D996,products!$A$1:$A$49,0),MATCH(J$1,products!$A$1:$G$1,0))</f>
        <v>D</v>
      </c>
      <c r="K996" s="4">
        <f>INDEX(products!$A$1:$G$49,MATCH($D996,products!$A$1:$A$49,0),MATCH(K$1,products!$A$1:$G$1,0))</f>
        <v>0.2</v>
      </c>
      <c r="L996" s="5">
        <f>INDEX(products!$A$1:$G$49,MATCH($D996,products!$A$1:$A$49,0),MATCH(L$1,products!$A$1:$G$1,0))</f>
        <v>2.9849999999999999</v>
      </c>
      <c r="M996" s="5">
        <f t="shared" si="46"/>
        <v>8.9550000000000001</v>
      </c>
      <c r="N996" t="str">
        <f t="shared" si="48"/>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INDEX(products!$A$1:$G$49,MATCH($D997,products!$A$1:$A$49,0),MATCH(I$1,products!$A$1:$G$1,0))</f>
        <v>Rob</v>
      </c>
      <c r="J997" t="str">
        <f>INDEX(products!$A$1:$G$49,MATCH($D997,products!$A$1:$A$49,0),MATCH(J$1,products!$A$1:$G$1,0))</f>
        <v>L</v>
      </c>
      <c r="K997" s="4">
        <f>INDEX(products!$A$1:$G$49,MATCH($D997,products!$A$1:$A$49,0),MATCH(K$1,products!$A$1:$G$1,0))</f>
        <v>2.5</v>
      </c>
      <c r="L997" s="5">
        <f>INDEX(products!$A$1:$G$49,MATCH($D997,products!$A$1:$A$49,0),MATCH(L$1,products!$A$1:$G$1,0))</f>
        <v>27.484999999999996</v>
      </c>
      <c r="M997" s="5">
        <f t="shared" si="46"/>
        <v>27.484999999999996</v>
      </c>
      <c r="N997" t="str">
        <f t="shared" si="48"/>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f>
        <v>Marguerite Graves</v>
      </c>
      <c r="G998" s="2" t="str">
        <f>IF(_xlfn.XLOOKUP(C998,customers!$A$1:$A$1001,customers!$C$1:$C$1001,,0)=0,"",_xlfn.XLOOKUP(C998,customers!$A$1:$A$1001,customers!$C$1:$C$1001,,0))</f>
        <v/>
      </c>
      <c r="H998" s="2" t="str">
        <f>_xlfn.XLOOKUP(C998,customers!$A$1:$A$1001,customers!$G$1:$G$1001,,0)</f>
        <v>United States</v>
      </c>
      <c r="I998" t="str">
        <f>INDEX(products!$A$1:$G$49,MATCH($D998,products!$A$1:$A$49,0),MATCH(I$1,products!$A$1:$G$1,0))</f>
        <v>Rob</v>
      </c>
      <c r="J998" t="str">
        <f>INDEX(products!$A$1:$G$49,MATCH($D998,products!$A$1:$A$49,0),MATCH(J$1,products!$A$1:$G$1,0))</f>
        <v>M</v>
      </c>
      <c r="K998" s="4">
        <f>INDEX(products!$A$1:$G$49,MATCH($D998,products!$A$1:$A$49,0),MATCH(K$1,products!$A$1:$G$1,0))</f>
        <v>0.5</v>
      </c>
      <c r="L998" s="5">
        <f>INDEX(products!$A$1:$G$49,MATCH($D998,products!$A$1:$A$49,0),MATCH(L$1,products!$A$1:$G$1,0))</f>
        <v>5.97</v>
      </c>
      <c r="M998" s="5">
        <f t="shared" si="46"/>
        <v>29.849999999999998</v>
      </c>
      <c r="N998" t="str">
        <f t="shared" si="48"/>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f>
        <v>Marguerite Graves</v>
      </c>
      <c r="G999" s="2" t="str">
        <f>IF(_xlfn.XLOOKUP(C999,customers!$A$1:$A$1001,customers!$C$1:$C$1001,,0)=0,"",_xlfn.XLOOKUP(C999,customers!$A$1:$A$1001,customers!$C$1:$C$1001,,0))</f>
        <v/>
      </c>
      <c r="H999" s="2" t="str">
        <f>_xlfn.XLOOKUP(C999,customers!$A$1:$A$1001,customers!$G$1:$G$1001,,0)</f>
        <v>United States</v>
      </c>
      <c r="I999" t="str">
        <f>INDEX(products!$A$1:$G$49,MATCH($D999,products!$A$1:$A$49,0),MATCH(I$1,products!$A$1:$G$1,0))</f>
        <v>Ara</v>
      </c>
      <c r="J999" t="str">
        <f>INDEX(products!$A$1:$G$49,MATCH($D999,products!$A$1:$A$49,0),MATCH(J$1,products!$A$1:$G$1,0))</f>
        <v>M</v>
      </c>
      <c r="K999" s="4">
        <f>INDEX(products!$A$1:$G$49,MATCH($D999,products!$A$1:$A$49,0),MATCH(K$1,products!$A$1:$G$1,0))</f>
        <v>0.5</v>
      </c>
      <c r="L999" s="5">
        <f>INDEX(products!$A$1:$G$49,MATCH($D999,products!$A$1:$A$49,0),MATCH(L$1,products!$A$1:$G$1,0))</f>
        <v>6.75</v>
      </c>
      <c r="M999" s="5">
        <f t="shared" si="46"/>
        <v>27</v>
      </c>
      <c r="N999" t="str">
        <f t="shared" si="48"/>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INDEX(products!$A$1:$G$49,MATCH($D1000,products!$A$1:$A$49,0),MATCH(I$1,products!$A$1:$G$1,0))</f>
        <v>Ara</v>
      </c>
      <c r="J1000" t="str">
        <f>INDEX(products!$A$1:$G$49,MATCH($D1000,products!$A$1:$A$49,0),MATCH(J$1,products!$A$1:$G$1,0))</f>
        <v>D</v>
      </c>
      <c r="K1000" s="4">
        <f>INDEX(products!$A$1:$G$49,MATCH($D1000,products!$A$1:$A$49,0),MATCH(K$1,products!$A$1:$G$1,0))</f>
        <v>1</v>
      </c>
      <c r="L1000" s="5">
        <f>INDEX(products!$A$1:$G$49,MATCH($D1000,products!$A$1:$A$49,0),MATCH(L$1,products!$A$1:$G$1,0))</f>
        <v>9.9499999999999993</v>
      </c>
      <c r="M1000" s="5">
        <f t="shared" si="46"/>
        <v>9.9499999999999993</v>
      </c>
      <c r="N1000" t="str">
        <f t="shared" si="48"/>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f>
        <v>Vidovic Antonelli</v>
      </c>
      <c r="G1001" s="2" t="str">
        <f>IF(_xlfn.XLOOKUP(C1001,customers!$A$1:$A$1001,customers!$C$1:$C$1001,,0)=0,"",_xlfn.XLOOKUP(C1001,customers!$A$1:$A$1001,customers!$C$1:$C$1001,,0))</f>
        <v/>
      </c>
      <c r="H1001" s="2" t="str">
        <f>_xlfn.XLOOKUP(C1001,customers!$A$1:$A$1001,customers!$G$1:$G$1001,,0)</f>
        <v>United Kingdom</v>
      </c>
      <c r="I1001" t="str">
        <f>INDEX(products!$A$1:$G$49,MATCH($D1001,products!$A$1:$A$49,0),MATCH(I$1,products!$A$1:$G$1,0))</f>
        <v>Exc</v>
      </c>
      <c r="J1001" t="str">
        <f>INDEX(products!$A$1:$G$49,MATCH($D1001,products!$A$1:$A$49,0),MATCH(J$1,products!$A$1:$G$1,0))</f>
        <v>M</v>
      </c>
      <c r="K1001" s="4">
        <f>INDEX(products!$A$1:$G$49,MATCH($D1001,products!$A$1:$A$49,0),MATCH(K$1,products!$A$1:$G$1,0))</f>
        <v>0.2</v>
      </c>
      <c r="L1001" s="5">
        <f>INDEX(products!$A$1:$G$49,MATCH($D1001,products!$A$1:$A$49,0),MATCH(L$1,products!$A$1:$G$1,0))</f>
        <v>4.125</v>
      </c>
      <c r="M1001" s="5">
        <f t="shared" si="46"/>
        <v>12.375</v>
      </c>
      <c r="N1001" t="str">
        <f t="shared" si="48"/>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M1001"/>
  <sheetViews>
    <sheetView workbookViewId="0">
      <selection activeCell="J10" sqref="J10"/>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 min="13" max="13" width="15.28515625" bestFit="1" customWidth="1"/>
  </cols>
  <sheetData>
    <row r="1" spans="1:13" x14ac:dyDescent="0.25">
      <c r="A1" s="2" t="s">
        <v>3</v>
      </c>
      <c r="B1" s="2" t="s">
        <v>4</v>
      </c>
      <c r="C1" s="2" t="s">
        <v>2</v>
      </c>
      <c r="D1" s="2" t="s">
        <v>317</v>
      </c>
      <c r="E1" s="2" t="s">
        <v>5</v>
      </c>
      <c r="F1" s="2" t="s">
        <v>6</v>
      </c>
      <c r="G1" s="2" t="s">
        <v>7</v>
      </c>
      <c r="H1" s="2" t="s">
        <v>8</v>
      </c>
      <c r="I1" s="2" t="s">
        <v>6189</v>
      </c>
    </row>
    <row r="2" spans="1:13" x14ac:dyDescent="0.25">
      <c r="A2" s="2" t="s">
        <v>491</v>
      </c>
      <c r="B2" s="2" t="s">
        <v>492</v>
      </c>
      <c r="C2" s="2" t="s">
        <v>493</v>
      </c>
      <c r="D2" s="2" t="s">
        <v>494</v>
      </c>
      <c r="E2" s="2" t="s">
        <v>495</v>
      </c>
      <c r="F2" s="2" t="s">
        <v>266</v>
      </c>
      <c r="G2" s="2" t="s">
        <v>19</v>
      </c>
      <c r="H2" s="2">
        <v>7505</v>
      </c>
      <c r="I2" t="s">
        <v>6190</v>
      </c>
    </row>
    <row r="3" spans="1:13" x14ac:dyDescent="0.25">
      <c r="A3" s="2" t="s">
        <v>496</v>
      </c>
      <c r="B3" s="2" t="s">
        <v>497</v>
      </c>
      <c r="C3" s="2" t="s">
        <v>498</v>
      </c>
      <c r="D3" s="2" t="s">
        <v>499</v>
      </c>
      <c r="E3" s="2" t="s">
        <v>500</v>
      </c>
      <c r="F3" s="2" t="s">
        <v>329</v>
      </c>
      <c r="G3" s="2" t="s">
        <v>318</v>
      </c>
      <c r="H3" s="2" t="s">
        <v>330</v>
      </c>
      <c r="I3" t="s">
        <v>6191</v>
      </c>
      <c r="M3" s="8"/>
    </row>
    <row r="4" spans="1:13" x14ac:dyDescent="0.25">
      <c r="A4" s="2" t="s">
        <v>502</v>
      </c>
      <c r="B4" s="2" t="s">
        <v>503</v>
      </c>
      <c r="C4" s="2" t="s">
        <v>504</v>
      </c>
      <c r="D4" s="2" t="s">
        <v>505</v>
      </c>
      <c r="E4" s="2" t="s">
        <v>506</v>
      </c>
      <c r="F4" s="2" t="s">
        <v>125</v>
      </c>
      <c r="G4" s="2" t="s">
        <v>19</v>
      </c>
      <c r="H4" s="2">
        <v>78205</v>
      </c>
      <c r="I4" t="s">
        <v>6190</v>
      </c>
    </row>
    <row r="5" spans="1:13" x14ac:dyDescent="0.25">
      <c r="A5" s="2" t="s">
        <v>507</v>
      </c>
      <c r="B5" s="2" t="s">
        <v>508</v>
      </c>
      <c r="C5" s="2" t="s">
        <v>509</v>
      </c>
      <c r="D5" s="2" t="s">
        <v>510</v>
      </c>
      <c r="E5" s="2" t="s">
        <v>511</v>
      </c>
      <c r="F5" s="2" t="s">
        <v>83</v>
      </c>
      <c r="G5" s="2" t="s">
        <v>19</v>
      </c>
      <c r="H5" s="2">
        <v>62711</v>
      </c>
      <c r="I5" t="s">
        <v>6190</v>
      </c>
    </row>
    <row r="6" spans="1:13" x14ac:dyDescent="0.25">
      <c r="A6" s="2" t="s">
        <v>513</v>
      </c>
      <c r="B6" s="2" t="s">
        <v>514</v>
      </c>
      <c r="C6" s="2"/>
      <c r="D6" s="2" t="s">
        <v>515</v>
      </c>
      <c r="E6" s="2" t="s">
        <v>516</v>
      </c>
      <c r="F6" s="2" t="s">
        <v>517</v>
      </c>
      <c r="G6" s="2" t="s">
        <v>318</v>
      </c>
      <c r="H6" s="2" t="s">
        <v>518</v>
      </c>
      <c r="I6" t="s">
        <v>6191</v>
      </c>
    </row>
    <row r="7" spans="1:13" x14ac:dyDescent="0.25">
      <c r="A7" s="2" t="s">
        <v>520</v>
      </c>
      <c r="B7" s="2" t="s">
        <v>521</v>
      </c>
      <c r="C7" s="2"/>
      <c r="D7" s="2" t="s">
        <v>522</v>
      </c>
      <c r="E7" s="2" t="s">
        <v>523</v>
      </c>
      <c r="F7" s="2" t="s">
        <v>110</v>
      </c>
      <c r="G7" s="2" t="s">
        <v>19</v>
      </c>
      <c r="H7" s="2">
        <v>18505</v>
      </c>
      <c r="I7" t="s">
        <v>6191</v>
      </c>
    </row>
    <row r="8" spans="1:13" x14ac:dyDescent="0.25">
      <c r="A8" s="2" t="s">
        <v>525</v>
      </c>
      <c r="B8" s="2" t="s">
        <v>526</v>
      </c>
      <c r="C8" s="2" t="s">
        <v>527</v>
      </c>
      <c r="D8" s="2" t="s">
        <v>528</v>
      </c>
      <c r="E8" s="2" t="s">
        <v>529</v>
      </c>
      <c r="F8" s="2" t="s">
        <v>203</v>
      </c>
      <c r="G8" s="2" t="s">
        <v>19</v>
      </c>
      <c r="H8" s="2">
        <v>45440</v>
      </c>
      <c r="I8" t="s">
        <v>6190</v>
      </c>
    </row>
    <row r="9" spans="1:13" x14ac:dyDescent="0.25">
      <c r="A9" s="2" t="s">
        <v>531</v>
      </c>
      <c r="B9" s="2" t="s">
        <v>532</v>
      </c>
      <c r="C9" s="2"/>
      <c r="D9" s="2" t="s">
        <v>533</v>
      </c>
      <c r="E9" s="2" t="s">
        <v>534</v>
      </c>
      <c r="F9" s="2" t="s">
        <v>386</v>
      </c>
      <c r="G9" s="2" t="s">
        <v>318</v>
      </c>
      <c r="H9" s="2" t="s">
        <v>322</v>
      </c>
      <c r="I9" t="s">
        <v>6190</v>
      </c>
    </row>
    <row r="10" spans="1:13" x14ac:dyDescent="0.25">
      <c r="A10" s="2" t="s">
        <v>536</v>
      </c>
      <c r="B10" s="2" t="s">
        <v>537</v>
      </c>
      <c r="C10" s="2" t="s">
        <v>538</v>
      </c>
      <c r="D10" s="2" t="s">
        <v>539</v>
      </c>
      <c r="E10" s="2" t="s">
        <v>540</v>
      </c>
      <c r="F10" s="2" t="s">
        <v>27</v>
      </c>
      <c r="G10" s="2" t="s">
        <v>19</v>
      </c>
      <c r="H10" s="2">
        <v>90045</v>
      </c>
      <c r="I10" t="s">
        <v>6191</v>
      </c>
    </row>
    <row r="11" spans="1:13" x14ac:dyDescent="0.25">
      <c r="A11" s="2" t="s">
        <v>542</v>
      </c>
      <c r="B11" s="2" t="s">
        <v>543</v>
      </c>
      <c r="C11" s="2" t="s">
        <v>544</v>
      </c>
      <c r="D11" s="2" t="s">
        <v>545</v>
      </c>
      <c r="E11" s="2" t="s">
        <v>546</v>
      </c>
      <c r="F11" s="2" t="s">
        <v>27</v>
      </c>
      <c r="G11" s="2" t="s">
        <v>19</v>
      </c>
      <c r="H11" s="2">
        <v>90065</v>
      </c>
      <c r="I11" t="s">
        <v>6191</v>
      </c>
    </row>
    <row r="12" spans="1:13" x14ac:dyDescent="0.25">
      <c r="A12" s="2" t="s">
        <v>548</v>
      </c>
      <c r="B12" s="2" t="s">
        <v>549</v>
      </c>
      <c r="C12" s="2" t="s">
        <v>550</v>
      </c>
      <c r="D12" s="2" t="s">
        <v>551</v>
      </c>
      <c r="E12" s="2" t="s">
        <v>552</v>
      </c>
      <c r="F12" s="2" t="s">
        <v>98</v>
      </c>
      <c r="G12" s="2" t="s">
        <v>19</v>
      </c>
      <c r="H12" s="2">
        <v>95160</v>
      </c>
      <c r="I12" t="s">
        <v>6191</v>
      </c>
    </row>
    <row r="13" spans="1:13" x14ac:dyDescent="0.25">
      <c r="A13" s="2" t="s">
        <v>554</v>
      </c>
      <c r="B13" s="2" t="s">
        <v>555</v>
      </c>
      <c r="C13" s="2" t="s">
        <v>556</v>
      </c>
      <c r="D13" s="2" t="s">
        <v>557</v>
      </c>
      <c r="E13" s="2" t="s">
        <v>558</v>
      </c>
      <c r="F13" s="2" t="s">
        <v>98</v>
      </c>
      <c r="G13" s="2" t="s">
        <v>19</v>
      </c>
      <c r="H13" s="2">
        <v>95194</v>
      </c>
      <c r="I13" t="s">
        <v>6190</v>
      </c>
    </row>
    <row r="14" spans="1:13" x14ac:dyDescent="0.25">
      <c r="A14" s="2" t="s">
        <v>560</v>
      </c>
      <c r="B14" s="2" t="s">
        <v>561</v>
      </c>
      <c r="C14" s="2" t="s">
        <v>562</v>
      </c>
      <c r="D14" s="2" t="s">
        <v>563</v>
      </c>
      <c r="E14" s="2" t="s">
        <v>564</v>
      </c>
      <c r="F14" s="2" t="s">
        <v>38</v>
      </c>
      <c r="G14" s="2" t="s">
        <v>19</v>
      </c>
      <c r="H14" s="2">
        <v>23285</v>
      </c>
      <c r="I14" t="s">
        <v>6191</v>
      </c>
    </row>
    <row r="15" spans="1:13" x14ac:dyDescent="0.25">
      <c r="A15" s="2" t="s">
        <v>566</v>
      </c>
      <c r="B15" s="2" t="s">
        <v>567</v>
      </c>
      <c r="C15" s="2" t="s">
        <v>568</v>
      </c>
      <c r="D15" s="2"/>
      <c r="E15" s="2" t="s">
        <v>569</v>
      </c>
      <c r="F15" s="2" t="s">
        <v>269</v>
      </c>
      <c r="G15" s="2" t="s">
        <v>19</v>
      </c>
      <c r="H15" s="2">
        <v>41905</v>
      </c>
      <c r="I15" t="s">
        <v>6191</v>
      </c>
    </row>
    <row r="16" spans="1:13"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abSelected="1" workbookViewId="0">
      <selection activeCell="L8" sqref="L8:L18"/>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 min="12" max="12" width="25"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 Sales</vt:lpstr>
      <vt:lpstr>Top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dinesh kumar</cp:lastModifiedBy>
  <cp:revision/>
  <dcterms:created xsi:type="dcterms:W3CDTF">2022-11-26T09:51:45Z</dcterms:created>
  <dcterms:modified xsi:type="dcterms:W3CDTF">2025-11-01T10:47:47Z</dcterms:modified>
  <cp:category/>
  <cp:contentStatus/>
</cp:coreProperties>
</file>